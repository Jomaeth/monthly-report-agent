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600" firstSheet="1" activeTab="8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0_Project_Profile" sheetId="2" state="visible" r:id="rId2"/>
    <sheet xmlns:r="http://schemas.openxmlformats.org/officeDocument/2006/relationships" name="01_Area_Progress" sheetId="3" state="visible" r:id="rId3"/>
    <sheet xmlns:r="http://schemas.openxmlformats.org/officeDocument/2006/relationships" name="02_Programme_Milestones" sheetId="4" state="visible" r:id="rId4"/>
    <sheet xmlns:r="http://schemas.openxmlformats.org/officeDocument/2006/relationships" name="03_Submission_RFI" sheetId="5" state="visible" r:id="rId5"/>
    <sheet xmlns:r="http://schemas.openxmlformats.org/officeDocument/2006/relationships" name="04_Procurement" sheetId="6" state="visible" r:id="rId6"/>
    <sheet xmlns:r="http://schemas.openxmlformats.org/officeDocument/2006/relationships" name="05_Safety_Quality" sheetId="7" state="visible" r:id="rId7"/>
    <sheet xmlns:r="http://schemas.openxmlformats.org/officeDocument/2006/relationships" name="06_Commercial_Cost" sheetId="8" state="visible" r:id="rId8"/>
    <sheet xmlns:r="http://schemas.openxmlformats.org/officeDocument/2006/relationships" name="07_Risk_Action_Decision" sheetId="9" state="visible" r:id="rId9"/>
    <sheet xmlns:r="http://schemas.openxmlformats.org/officeDocument/2006/relationships" name="08_Metric_Dictionary" sheetId="10" state="visible" r:id="rId10"/>
    <sheet xmlns:r="http://schemas.openxmlformats.org/officeDocument/2006/relationships" name="09_Review_Gates" sheetId="11" state="visible" r:id="rId11"/>
    <sheet xmlns:r="http://schemas.openxmlformats.org/officeDocument/2006/relationships" name="10_Agent_Demo_Notes" sheetId="12" state="visible" r:id="rId12"/>
    <sheet xmlns:r="http://schemas.openxmlformats.org/officeDocument/2006/relationships" name="11_Demo_Summary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%"/>
    <numFmt numFmtId="166" formatCode="yyyy-mm-dd h:mm:ss"/>
    <numFmt numFmtId="167" formatCode="0.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Demo Exception Counts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KPI_Result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'11_Demo_Summary'!$A$2:$A$7</f>
              <strCache>
                <ptCount val="6"/>
                <pt idx="0">
                  <v>Progress Red rows</v>
                </pt>
                <pt idx="1">
                  <v>Progress Data Gap rows</v>
                </pt>
                <pt idx="2">
                  <v>Critical programme Red milestones</v>
                </pt>
                <pt idx="3">
                  <v>Red overdue RFI / submission items</v>
                </pt>
                <pt idx="4">
                  <v>Procurement Data Gap items</v>
                </pt>
                <pt idx="5">
                  <v>Safety / Quality Red items</v>
                </pt>
              </strCache>
            </strRef>
          </cat>
          <val>
            <numRef>
              <f>'11_Demo_Summary'!$B$2:$B$7</f>
              <numCache>
                <formatCode>General</formatCode>
                <ptCount val="6"/>
                <pt idx="0">
                  <v>2</v>
                </pt>
                <pt idx="1">
                  <v>1</v>
                </pt>
                <pt idx="2">
                  <v>3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1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eadmeTable" displayName="ReadmeTable" ref="A1:B9" headerRowCount="1">
  <tableColumns count="2">
    <tableColumn id="1" name="Section"/>
    <tableColumn id="2" name="Cont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jectProfileTable" displayName="ProjectProfileTable" ref="A1:E20" headerRowCount="1">
  <tableColumns count="5">
    <tableColumn id="1" name="Field"/>
    <tableColumn id="2" name="Value"/>
    <tableColumn id="3" name="Owner"/>
    <tableColumn id="4" name="Data_Classification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reaProgressTable" displayName="AreaProgressTable" ref="A1:U13" headerRowCount="1">
  <tableColumns count="21">
    <tableColumn id="1" name="Progress_ID"/>
    <tableColumn id="2" name="Zone_Area"/>
    <tableColumn id="3" name="Level"/>
    <tableColumn id="4" name="Trade"/>
    <tableColumn id="5" name="Activity"/>
    <tableColumn id="6" name="Planned_%_This_Month"/>
    <tableColumn id="7" name="Actual_%_This_Month"/>
    <tableColumn id="8" name="Variance_%"/>
    <tableColumn id="9" name="Planned_Qty"/>
    <tableColumn id="10" name="Actual_Qty"/>
    <tableColumn id="11" name="Unit"/>
    <tableColumn id="12" name="RAG_Status"/>
    <tableColumn id="13" name="Delay_Variance_Reason"/>
    <tableColumn id="14" name="Impact"/>
    <tableColumn id="15" name="Action"/>
    <tableColumn id="16" name="Owner"/>
    <tableColumn id="17" name="Due_Date"/>
    <tableColumn id="18" name="Photo_Refs"/>
    <tableColumn id="19" name="Linked_RFI"/>
    <tableColumn id="20" name="Linked_Milestone"/>
    <tableColumn id="21" name="Data_Quality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grammeMilestonesTable" displayName="ProgrammeMilestonesTable" ref="A1:M12" headerRowCount="1">
  <tableColumns count="13">
    <tableColumn id="1" name="Milestone_ID"/>
    <tableColumn id="2" name="Milestone_Name"/>
    <tableColumn id="3" name="Baseline_Date"/>
    <tableColumn id="4" name="Current_Forecast_Date"/>
    <tableColumn id="5" name="Variance_Days"/>
    <tableColumn id="6" name="Critical_Path"/>
    <tableColumn id="7" name="Linked_Progress_Item"/>
    <tableColumn id="8" name="Linked_RFI_Submission"/>
    <tableColumn id="9" name="Reason"/>
    <tableColumn id="10" name="Recovery_Action"/>
    <tableColumn id="11" name="Owner"/>
    <tableColumn id="12" name="RAG_Status"/>
    <tableColumn id="13" name="Review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bmissionRfiTable" displayName="SubmissionRfiTable" ref="A1:S11" headerRowCount="1">
  <tableColumns count="19">
    <tableColumn id="1" name="Record_ID"/>
    <tableColumn id="2" name="Type"/>
    <tableColumn id="3" name="Package_Trade"/>
    <tableColumn id="4" name="Description"/>
    <tableColumn id="5" name="Date_Raised_Submitted"/>
    <tableColumn id="6" name="Response_Due_Date"/>
    <tableColumn id="7" name="Response_Received_Date"/>
    <tableColumn id="8" name="Days_Open_Overdue"/>
    <tableColumn id="9" name="Status_Raw"/>
    <tableColumn id="10" name="Status_Normalized"/>
    <tableColumn id="11" name="Revision"/>
    <tableColumn id="12" name="Linked_Area_Activity"/>
    <tableColumn id="13" name="Linked_Milestone"/>
    <tableColumn id="14" name="Programme_Impact_Days"/>
    <tableColumn id="15" name="Commercial_Impact"/>
    <tableColumn id="16" name="Responsible_Person"/>
    <tableColumn id="17" name="Escalation_Required"/>
    <tableColumn id="18" name="RAG_Status"/>
    <tableColumn id="19" name="Data_Quality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curementTable" displayName="ProcurementTable" ref="A1:N9" headerRowCount="1">
  <tableColumns count="14">
    <tableColumn id="1" name="Item_ID"/>
    <tableColumn id="2" name="Item_Description"/>
    <tableColumn id="3" name="Package"/>
    <tableColumn id="4" name="Required_Onsite_Date"/>
    <tableColumn id="5" name="Approval_Status"/>
    <tableColumn id="6" name="PO_Status"/>
    <tableColumn id="7" name="Supplier"/>
    <tableColumn id="8" name="Forecast_Delivery_Date"/>
    <tableColumn id="9" name="Variance_Days"/>
    <tableColumn id="10" name="Linked_Milestone"/>
    <tableColumn id="11" name="Risk_Status"/>
    <tableColumn id="12" name="Action"/>
    <tableColumn id="13" name="Owner"/>
    <tableColumn id="14" name="Data_Qualit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afetyQualityTable" displayName="SafetyQualityTable" ref="A1:Q9" headerRowCount="1">
  <tableColumns count="17">
    <tableColumn id="1" name="Record_ID"/>
    <tableColumn id="2" name="Category"/>
    <tableColumn id="3" name="Metric_or_Issue"/>
    <tableColumn id="4" name="Count_Value"/>
    <tableColumn id="5" name="Unit"/>
    <tableColumn id="6" name="Target"/>
    <tableColumn id="7" name="Actual_Result"/>
    <tableColumn id="8" name="Status"/>
    <tableColumn id="9" name="Area"/>
    <tableColumn id="10" name="Description"/>
    <tableColumn id="11" name="Action_Required"/>
    <tableColumn id="12" name="Owner"/>
    <tableColumn id="13" name="Due_Date"/>
    <tableColumn id="14" name="Days_Overdue"/>
    <tableColumn id="15" name="RAG_Status"/>
    <tableColumn id="16" name="Evidence_Ref"/>
    <tableColumn id="17" name="Data_Quality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mercialCostTable" displayName="CommercialCostTable" ref="A1:Y3" headerRowCount="1">
  <tableColumns count="25">
    <tableColumn id="1" name="Reporting_Month"/>
    <tableColumn id="2" name="Project_ID"/>
    <tableColumn id="3" name="Original_Net_Contract_Sum_HKD_M"/>
    <tableColumn id="4" name="Contract_Sum_with_VO_HKD_M"/>
    <tableColumn id="5" name="Accounted_VO_Income_HKD_M"/>
    <tableColumn id="6" name="Accounted_VO_Cost_HKD_M"/>
    <tableColumn id="7" name="VO_Net_HKD_M"/>
    <tableColumn id="8" name="Obj_GP_HKD_M"/>
    <tableColumn id="9" name="Obj_GP_%"/>
    <tableColumn id="10" name="Current_GP_HKD_M"/>
    <tableColumn id="11" name="Current_GP_%"/>
    <tableColumn id="12" name="GP_vs_Objective_HKD_M"/>
    <tableColumn id="13" name="GP_vs_Objective_%"/>
    <tableColumn id="14" name="Payment_Received_HKD_M"/>
    <tableColumn id="15" name="Actual_Expenditure_HKD_M"/>
    <tableColumn id="16" name="Nett_Cashflow_HKD_M"/>
    <tableColumn id="17" name="Cost_Certified_HKD_M"/>
    <tableColumn id="18" name="Cost_Certified_%"/>
    <tableColumn id="19" name="Commitment_HKD_M"/>
    <tableColumn id="20" name="Commitment_%"/>
    <tableColumn id="21" name="Risk_Exposure_HKD_M"/>
    <tableColumn id="22" name="Performance_Score_0_to_10"/>
    <tableColumn id="23" name="RAG_Status"/>
    <tableColumn id="24" name="Raw_Source_Issue"/>
    <tableColumn id="25" name="Data_Quality_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iskActionDecisionTable" displayName="RiskActionDecisionTable" ref="A1:M9" headerRowCount="1">
  <tableColumns count="13">
    <tableColumn id="1" name="Issue_ID"/>
    <tableColumn id="2" name="Category"/>
    <tableColumn id="3" name="Linked_Records"/>
    <tableColumn id="4" name="Description"/>
    <tableColumn id="5" name="Impact"/>
    <tableColumn id="6" name="Decision_Required"/>
    <tableColumn id="7" name="Recommendation"/>
    <tableColumn id="8" name="Owner"/>
    <tableColumn id="9" name="Due_Date"/>
    <tableColumn id="10" name="Status"/>
    <tableColumn id="11" name="RAG_Status"/>
    <tableColumn id="12" name="Human_Review_Gate"/>
    <tableColumn id="13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etricDictionaryTable" displayName="MetricDictionaryTable" ref="A1:J16" headerRowCount="1">
  <tableColumns count="10">
    <tableColumn id="1" name="Metric_ID"/>
    <tableColumn id="2" name="Metric_Name"/>
    <tableColumn id="3" name="Management_Question"/>
    <tableColumn id="4" name="Source_Sheet"/>
    <tableColumn id="5" name="Source_Fields"/>
    <tableColumn id="6" name="Formula_or_Logic"/>
    <tableColumn id="7" name="Owner"/>
    <tableColumn id="8" name="Primary_Audience"/>
    <tableColumn id="9" name="RAG_Rule"/>
    <tableColumn id="10" name="Evidence_Requir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GatesTable" displayName="ReviewGatesTable" ref="A1:G9" headerRowCount="1">
  <tableColumns count="7">
    <tableColumn id="1" name="Review_Gate_ID"/>
    <tableColumn id="2" name="Report_Section"/>
    <tableColumn id="3" name="Reviewer"/>
    <tableColumn id="4" name="What_To_Check"/>
    <tableColumn id="5" name="Decision"/>
    <tableColumn id="6" name="Stop_Condition"/>
    <tableColumn id="7" name="Output_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dexDemoNotesTable" displayName="CodexDemoNotesTable" ref="A1:B8" headerRowCount="1">
  <tableColumns count="2">
    <tableColumn id="1" name="Step"/>
    <tableColumn id="2" name="Prompt_or_Demo_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emoSummaryTable" displayName="DemoSummaryTable" ref="A1:D8" headerRowCount="1">
  <tableColumns count="4">
    <tableColumn id="1" name="Area"/>
    <tableColumn id="2" name="Demo Metric"/>
    <tableColumn id="3" name="Formula / Source"/>
    <tableColumn id="4" name="Expected Teaching Mo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28" customWidth="1" min="1" max="1"/>
    <col width="105" customWidth="1" min="2" max="2"/>
  </cols>
  <sheetData>
    <row r="1" ht="15" customHeight="1">
      <c r="A1" s="1" t="inlineStr">
        <is>
          <t>Section</t>
        </is>
      </c>
      <c r="B1" s="1" t="inlineStr">
        <is>
          <t>Content</t>
        </is>
      </c>
    </row>
    <row r="2" ht="15" customHeight="1">
      <c r="A2" s="2" t="inlineStr">
        <is>
          <t>Demo scenario</t>
        </is>
      </c>
      <c r="B2" s="2" t="inlineStr">
        <is>
          <t>Hong Kong specialist subcontractor working on a building E&amp;M / fit-out package.</t>
        </is>
      </c>
    </row>
    <row r="3" ht="15" customHeight="1">
      <c r="A3" s="2" t="inlineStr">
        <is>
          <t>Report type</t>
        </is>
      </c>
      <c r="B3" s="2" t="inlineStr">
        <is>
          <t>Internal Monthly Project Health Report for Director, PM, and QS review.</t>
        </is>
      </c>
    </row>
    <row r="4" ht="15" customHeight="1">
      <c r="A4" s="2" t="inlineStr">
        <is>
          <t>Reporting month</t>
        </is>
      </c>
      <c r="B4" s="2" t="inlineStr">
        <is>
          <t>April 2026; report-as-of date 2026-04-30.</t>
        </is>
      </c>
    </row>
    <row r="5" ht="15" customHeight="1">
      <c r="A5" s="2" t="inlineStr">
        <is>
          <t>Teaching objective</t>
        </is>
      </c>
      <c r="B5" s="2" t="inlineStr">
        <is>
          <t>Show how Codex / AI can validate a multi-sheet Excel data pack, calculate KPIs, generate charts, draft user-specific narratives, render Markdown / HTML / PDF, and stop for human review.</t>
        </is>
      </c>
    </row>
    <row r="6" ht="15" customHeight="1">
      <c r="A6" s="2" t="inlineStr">
        <is>
          <t>Core workflow</t>
        </is>
      </c>
      <c r="B6" s="2" t="inlineStr">
        <is>
          <t>Load workbook -&gt; validate schema, formulas and cross-links -&gt; recompute KPI/RAG -&gt; generate charts -&gt; render Markdown/HTML/PDF draft -&gt; prepare email draft -&gt; stop at human review gates (PM / QS / Director) before any send.</t>
        </is>
      </c>
    </row>
    <row r="7" ht="15" customHeight="1">
      <c r="A7" s="2" t="inlineStr">
        <is>
          <t>Deliberate data issues</t>
        </is>
      </c>
      <c r="B7" s="2" t="inlineStr">
        <is>
          <t>Missing Actual % in Area Progress; inconsistent RFI/submission status labels; overdue RFI; missing forecast delivery date; commercial raw source issue marker; overdue safety/quality actions.</t>
        </is>
      </c>
    </row>
    <row r="8" ht="15" customHeight="1">
      <c r="A8" s="2" t="inlineStr">
        <is>
          <t>Important teaching point</t>
        </is>
      </c>
      <c r="B8" s="2" t="inlineStr">
        <is>
          <t>This data pack is fictitious and anonymized. It is a teaching-grade demo input, not a production-grade report system.</t>
        </is>
      </c>
    </row>
    <row r="9" ht="15" customHeight="1">
      <c r="A9" s="2" t="inlineStr">
        <is>
          <t>How to use in Codex</t>
        </is>
      </c>
      <c r="B9" s="2" t="inlineStr">
        <is>
          <t>Ask Codex to inspect sheets first, propose a plan, then generate a script to read this workbook and output Markdown/HTML/PDF report drafts with a data-quality log.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25"/>
  <cols>
    <col width="35" customWidth="1" min="1" max="1"/>
    <col width="65" customWidth="1" min="2" max="2"/>
    <col width="24" customWidth="1" min="3" max="3"/>
    <col width="22" customWidth="1" min="4" max="4"/>
    <col width="55" customWidth="1" min="5" max="5"/>
  </cols>
  <sheetData>
    <row r="1" ht="15" customHeight="1">
      <c r="A1" s="1" t="inlineStr">
        <is>
          <t>Field</t>
        </is>
      </c>
      <c r="B1" s="1" t="inlineStr">
        <is>
          <t>Value</t>
        </is>
      </c>
      <c r="C1" s="1" t="inlineStr">
        <is>
          <t>Owner</t>
        </is>
      </c>
      <c r="D1" s="1" t="inlineStr">
        <is>
          <t>Data_Classification</t>
        </is>
      </c>
      <c r="E1" s="1" t="inlineStr">
        <is>
          <t>Notes</t>
        </is>
      </c>
    </row>
    <row r="2" ht="15" customHeight="1">
      <c r="A2" s="2" t="inlineStr">
        <is>
          <t>Project_ID</t>
        </is>
      </c>
      <c r="B2" s="2" t="inlineStr">
        <is>
          <t>HKC-EM-001</t>
        </is>
      </c>
      <c r="C2" s="2" t="inlineStr">
        <is>
          <t>PM / Admin</t>
        </is>
      </c>
      <c r="D2" s="2" t="inlineStr">
        <is>
          <t>CONTROL</t>
        </is>
      </c>
      <c r="E2" s="2" t="inlineStr">
        <is>
          <t>Key used across sheets</t>
        </is>
      </c>
    </row>
    <row r="3" ht="15" customHeight="1">
      <c r="A3" s="2" t="inlineStr">
        <is>
          <t>Project_Name</t>
        </is>
      </c>
      <c r="B3" s="2" t="inlineStr">
        <is>
          <t>Harbourview Commercial Tower - E&amp;M &amp; Fit-out Interface Package</t>
        </is>
      </c>
      <c r="C3" s="2" t="inlineStr">
        <is>
          <t>PM / Admin</t>
        </is>
      </c>
      <c r="D3" s="2" t="inlineStr">
        <is>
          <t>CONTROL</t>
        </is>
      </c>
      <c r="E3" s="2" t="inlineStr">
        <is>
          <t>Fictitious teaching project</t>
        </is>
      </c>
    </row>
    <row r="4" ht="15" customHeight="1">
      <c r="A4" s="2" t="inlineStr">
        <is>
          <t>Contract_No</t>
        </is>
      </c>
      <c r="B4" s="2" t="inlineStr">
        <is>
          <t>SC-2026-EM-01</t>
        </is>
      </c>
      <c r="C4" s="2" t="inlineStr">
        <is>
          <t>PM / Admin</t>
        </is>
      </c>
      <c r="D4" s="2" t="inlineStr">
        <is>
          <t>CONTROL</t>
        </is>
      </c>
      <c r="E4" s="2" t="n"/>
    </row>
    <row r="5" ht="15" customHeight="1">
      <c r="A5" s="2" t="inlineStr">
        <is>
          <t>Subcontractor</t>
        </is>
      </c>
      <c r="B5" s="2" t="inlineStr">
        <is>
          <t>Wan Tsun E&amp;M Engineering Limited</t>
        </is>
      </c>
      <c r="C5" s="2" t="inlineStr">
        <is>
          <t>PM / Admin</t>
        </is>
      </c>
      <c r="D5" s="2" t="inlineStr">
        <is>
          <t>CONTROL</t>
        </is>
      </c>
      <c r="E5" s="2" t="inlineStr">
        <is>
          <t>Fictitious company</t>
        </is>
      </c>
    </row>
    <row r="6" ht="15" customHeight="1">
      <c r="A6" s="2" t="inlineStr">
        <is>
          <t>Client_or_Main_Contractor</t>
        </is>
      </c>
      <c r="B6" s="3" t="inlineStr">
        <is>
          <t>Harbour Gate Construction Company Limited</t>
        </is>
      </c>
      <c r="C6" s="2" t="inlineStr">
        <is>
          <t>PM / Admin</t>
        </is>
      </c>
      <c r="D6" s="2" t="inlineStr">
        <is>
          <t>CONTROL</t>
        </is>
      </c>
      <c r="E6" s="2" t="inlineStr">
        <is>
          <t>Fictitious company</t>
        </is>
      </c>
    </row>
    <row r="7" ht="15" customHeight="1">
      <c r="A7" s="2" t="inlineStr">
        <is>
          <t>Reporting_Period_Start</t>
        </is>
      </c>
      <c r="B7" s="3" t="n">
        <v>46113</v>
      </c>
      <c r="C7" s="2" t="inlineStr">
        <is>
          <t>PM / Admin</t>
        </is>
      </c>
      <c r="D7" s="2" t="inlineStr">
        <is>
          <t>CONTROL</t>
        </is>
      </c>
      <c r="E7" s="2" t="n"/>
    </row>
    <row r="8" ht="15" customHeight="1">
      <c r="A8" s="2" t="inlineStr">
        <is>
          <t>Reporting_Period_End</t>
        </is>
      </c>
      <c r="B8" s="3" t="n">
        <v>46142</v>
      </c>
      <c r="C8" s="2" t="inlineStr">
        <is>
          <t>PM / Admin</t>
        </is>
      </c>
      <c r="D8" s="2" t="inlineStr">
        <is>
          <t>CONTROL</t>
        </is>
      </c>
      <c r="E8" s="2" t="inlineStr">
        <is>
          <t>Report-as-of date</t>
        </is>
      </c>
    </row>
    <row r="9" ht="15" customHeight="1">
      <c r="A9" s="2" t="inlineStr">
        <is>
          <t>Project_Director</t>
        </is>
      </c>
      <c r="B9" s="2" t="inlineStr">
        <is>
          <t>Mr. Chan</t>
        </is>
      </c>
      <c r="C9" s="2" t="inlineStr">
        <is>
          <t>PM / Admin</t>
        </is>
      </c>
      <c r="D9" s="2" t="inlineStr">
        <is>
          <t>CONTROL</t>
        </is>
      </c>
      <c r="E9" s="2" t="inlineStr">
        <is>
          <t>Director dashboard reviewer</t>
        </is>
      </c>
    </row>
    <row r="10" ht="15" customHeight="1">
      <c r="A10" s="2" t="inlineStr">
        <is>
          <t>Project_Manager</t>
        </is>
      </c>
      <c r="B10" s="2" t="inlineStr">
        <is>
          <t>Ms. Lee</t>
        </is>
      </c>
      <c r="C10" s="2" t="inlineStr">
        <is>
          <t>PM / Admin</t>
        </is>
      </c>
      <c r="D10" s="2" t="inlineStr">
        <is>
          <t>CONTROL</t>
        </is>
      </c>
      <c r="E10" s="2" t="inlineStr">
        <is>
          <t>Final report owner</t>
        </is>
      </c>
    </row>
    <row r="11" ht="15" customHeight="1">
      <c r="A11" s="2" t="inlineStr">
        <is>
          <t>QS_Commercial_Manager</t>
        </is>
      </c>
      <c r="B11" s="2" t="inlineStr">
        <is>
          <t>Mr. Wong</t>
        </is>
      </c>
      <c r="C11" s="2" t="inlineStr">
        <is>
          <t>QS / Commercial</t>
        </is>
      </c>
      <c r="D11" s="2" t="inlineStr">
        <is>
          <t>CONTROL</t>
        </is>
      </c>
      <c r="E11" s="2" t="inlineStr">
        <is>
          <t>Commercial section owner</t>
        </is>
      </c>
    </row>
    <row r="12" ht="15" customHeight="1">
      <c r="A12" s="2" t="inlineStr">
        <is>
          <t>Construction_Manager</t>
        </is>
      </c>
      <c r="B12" s="2" t="inlineStr">
        <is>
          <t>Mr. Ho</t>
        </is>
      </c>
      <c r="C12" s="2" t="inlineStr">
        <is>
          <t>Construction</t>
        </is>
      </c>
      <c r="D12" s="2" t="inlineStr">
        <is>
          <t>CONTROL</t>
        </is>
      </c>
      <c r="E12" s="2" t="inlineStr">
        <is>
          <t>Progress section owner</t>
        </is>
      </c>
    </row>
    <row r="13" ht="15" customHeight="1">
      <c r="A13" s="2" t="inlineStr">
        <is>
          <t>Planning_Manager</t>
        </is>
      </c>
      <c r="B13" s="2" t="inlineStr">
        <is>
          <t>Ms. Ng</t>
        </is>
      </c>
      <c r="C13" s="2" t="inlineStr">
        <is>
          <t>Planner</t>
        </is>
      </c>
      <c r="D13" s="2" t="inlineStr">
        <is>
          <t>CONTROL</t>
        </is>
      </c>
      <c r="E13" s="2" t="inlineStr">
        <is>
          <t>Programme section owner</t>
        </is>
      </c>
    </row>
    <row r="14" ht="15" customHeight="1">
      <c r="A14" s="2" t="inlineStr">
        <is>
          <t>Technical_Manager</t>
        </is>
      </c>
      <c r="B14" s="2" t="inlineStr">
        <is>
          <t>Mr. Lau</t>
        </is>
      </c>
      <c r="C14" s="2" t="inlineStr">
        <is>
          <t>Technical</t>
        </is>
      </c>
      <c r="D14" s="2" t="inlineStr">
        <is>
          <t>CONTROL</t>
        </is>
      </c>
      <c r="E14" s="2" t="inlineStr">
        <is>
          <t>Submission/RFI owner</t>
        </is>
      </c>
    </row>
    <row r="15" ht="15" customHeight="1">
      <c r="A15" s="2" t="inlineStr">
        <is>
          <t>Safety_Officer</t>
        </is>
      </c>
      <c r="B15" s="2" t="inlineStr">
        <is>
          <t>Ms. Tam</t>
        </is>
      </c>
      <c r="C15" s="2" t="inlineStr">
        <is>
          <t>Safety</t>
        </is>
      </c>
      <c r="D15" s="2" t="inlineStr">
        <is>
          <t>CONTROL</t>
        </is>
      </c>
      <c r="E15" s="2" t="inlineStr">
        <is>
          <t>Safety owner</t>
        </is>
      </c>
    </row>
    <row r="16" ht="15" customHeight="1">
      <c r="A16" s="2" t="inlineStr">
        <is>
          <t>QAQC_Manager</t>
        </is>
      </c>
      <c r="B16" s="4" t="inlineStr">
        <is>
          <t>Mr. Ip</t>
        </is>
      </c>
      <c r="C16" s="2" t="inlineStr">
        <is>
          <t>QA/QC</t>
        </is>
      </c>
      <c r="D16" s="2" t="inlineStr">
        <is>
          <t>CONTROL</t>
        </is>
      </c>
      <c r="E16" s="2" t="inlineStr">
        <is>
          <t>Quality owner</t>
        </is>
      </c>
    </row>
    <row r="17" ht="15" customHeight="1">
      <c r="A17" s="2" t="inlineStr">
        <is>
          <t>Contract_Value_HKD_M</t>
        </is>
      </c>
      <c r="B17" s="7" t="n">
        <v>68.5</v>
      </c>
      <c r="C17" s="2" t="inlineStr">
        <is>
          <t>QS / Commercial</t>
        </is>
      </c>
      <c r="D17" s="2" t="inlineStr">
        <is>
          <t>CONTROL</t>
        </is>
      </c>
      <c r="E17" s="2" t="inlineStr">
        <is>
          <t>Original net contract sum</t>
        </is>
      </c>
    </row>
    <row r="18" ht="15" customHeight="1">
      <c r="A18" s="2" t="inlineStr">
        <is>
          <t>Baseline_Completion_Date</t>
        </is>
      </c>
      <c r="B18" s="3" t="n">
        <v>46371</v>
      </c>
      <c r="C18" s="2" t="inlineStr">
        <is>
          <t>Planner</t>
        </is>
      </c>
      <c r="D18" s="2" t="inlineStr">
        <is>
          <t>CONTROL</t>
        </is>
      </c>
      <c r="E18" s="2" t="n"/>
    </row>
    <row r="19" ht="15" customHeight="1">
      <c r="A19" s="2" t="inlineStr">
        <is>
          <t>Current_Forecast_Completion_Date</t>
        </is>
      </c>
      <c r="B19" s="3" t="n">
        <v>46384</v>
      </c>
      <c r="C19" s="2" t="inlineStr">
        <is>
          <t>Planner</t>
        </is>
      </c>
      <c r="D19" s="2" t="inlineStr">
        <is>
          <t>CONTROL</t>
        </is>
      </c>
      <c r="E19" s="2" t="inlineStr">
        <is>
          <t>13-day movement</t>
        </is>
      </c>
    </row>
    <row r="20" ht="15" customHeight="1">
      <c r="A20" s="2" t="inlineStr">
        <is>
          <t>Report_Version</t>
        </is>
      </c>
      <c r="B20" s="2" t="inlineStr">
        <is>
          <t>Draft v0.1</t>
        </is>
      </c>
      <c r="C20" s="2" t="inlineStr">
        <is>
          <t>PM / Admin</t>
        </is>
      </c>
      <c r="D20" s="2" t="inlineStr">
        <is>
          <t>GO</t>
        </is>
      </c>
      <c r="E20" s="2" t="inlineStr">
        <is>
          <t>For workshop 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topLeftCell="H1" workbookViewId="0">
      <selection activeCell="A1" sqref="A1"/>
    </sheetView>
  </sheetViews>
  <sheetFormatPr baseColWidth="8" defaultRowHeight="14.25"/>
  <cols>
    <col width="12" customWidth="1" min="1" max="1"/>
    <col width="16" customWidth="1" min="2" max="2"/>
    <col width="12" customWidth="1" min="3" max="3"/>
    <col width="18" customWidth="1" min="4" max="4"/>
    <col width="34" customWidth="1" min="5" max="5"/>
    <col width="16" customWidth="1" min="6" max="7"/>
    <col width="12" customWidth="1" min="8" max="10"/>
    <col width="8" customWidth="1" min="11" max="11"/>
    <col width="12" customWidth="1" min="12" max="12"/>
    <col width="36" customWidth="1" min="13" max="13"/>
    <col width="40" customWidth="1" min="14" max="14"/>
    <col width="42" customWidth="1" min="15" max="15"/>
    <col width="24" customWidth="1" min="16" max="16"/>
    <col width="14" customWidth="1" min="17" max="17"/>
    <col width="16" customWidth="1" min="18" max="18"/>
    <col width="14" customWidth="1" min="19" max="19"/>
    <col width="16" customWidth="1" min="20" max="20"/>
    <col width="30" customWidth="1" min="21" max="21"/>
  </cols>
  <sheetData>
    <row r="1" ht="15" customHeight="1">
      <c r="A1" s="1" t="inlineStr">
        <is>
          <t>Progress_ID</t>
        </is>
      </c>
      <c r="B1" s="1" t="inlineStr">
        <is>
          <t>Zone_Area</t>
        </is>
      </c>
      <c r="C1" s="1" t="inlineStr">
        <is>
          <t>Level</t>
        </is>
      </c>
      <c r="D1" s="1" t="inlineStr">
        <is>
          <t>Trade</t>
        </is>
      </c>
      <c r="E1" s="1" t="inlineStr">
        <is>
          <t>Activity</t>
        </is>
      </c>
      <c r="F1" s="1" t="inlineStr">
        <is>
          <t>Planned_%_This_Month</t>
        </is>
      </c>
      <c r="G1" s="1" t="inlineStr">
        <is>
          <t>Actual_%_This_Month</t>
        </is>
      </c>
      <c r="H1" s="1" t="inlineStr">
        <is>
          <t>Variance_%</t>
        </is>
      </c>
      <c r="I1" s="1" t="inlineStr">
        <is>
          <t>Planned_Qty</t>
        </is>
      </c>
      <c r="J1" s="1" t="inlineStr">
        <is>
          <t>Actual_Qty</t>
        </is>
      </c>
      <c r="K1" s="1" t="inlineStr">
        <is>
          <t>Unit</t>
        </is>
      </c>
      <c r="L1" s="1" t="inlineStr">
        <is>
          <t>RAG_Status</t>
        </is>
      </c>
      <c r="M1" s="1" t="inlineStr">
        <is>
          <t>Delay_Variance_Reason</t>
        </is>
      </c>
      <c r="N1" s="1" t="inlineStr">
        <is>
          <t>Impact</t>
        </is>
      </c>
      <c r="O1" s="1" t="inlineStr">
        <is>
          <t>Action</t>
        </is>
      </c>
      <c r="P1" s="1" t="inlineStr">
        <is>
          <t>Owner</t>
        </is>
      </c>
      <c r="Q1" s="1" t="inlineStr">
        <is>
          <t>Due_Date</t>
        </is>
      </c>
      <c r="R1" s="1" t="inlineStr">
        <is>
          <t>Photo_Refs</t>
        </is>
      </c>
      <c r="S1" s="1" t="inlineStr">
        <is>
          <t>Linked_RFI</t>
        </is>
      </c>
      <c r="T1" s="1" t="inlineStr">
        <is>
          <t>Linked_Milestone</t>
        </is>
      </c>
      <c r="U1" s="1" t="inlineStr">
        <is>
          <t>Data_Quality_Note</t>
        </is>
      </c>
    </row>
    <row r="2" ht="15" customHeight="1">
      <c r="A2" s="2" t="inlineStr">
        <is>
          <t>PRG-001</t>
        </is>
      </c>
      <c r="B2" s="2" t="inlineStr">
        <is>
          <t>Tower A</t>
        </is>
      </c>
      <c r="C2" s="2" t="inlineStr">
        <is>
          <t>L10-L12</t>
        </is>
      </c>
      <c r="D2" s="2" t="inlineStr">
        <is>
          <t>Electrical</t>
        </is>
      </c>
      <c r="E2" s="2" t="inlineStr">
        <is>
          <t>Cable tray installation</t>
        </is>
      </c>
      <c r="F2" s="5" t="n">
        <v>0.7</v>
      </c>
      <c r="G2" s="5" t="n">
        <v>0.68</v>
      </c>
      <c r="H2" s="5" t="n">
        <v>-0.01999999999999991</v>
      </c>
      <c r="I2" s="2" t="n">
        <v>1200</v>
      </c>
      <c r="J2" s="2" t="n">
        <v>1165</v>
      </c>
      <c r="K2" s="2" t="inlineStr">
        <is>
          <t>m</t>
        </is>
      </c>
      <c r="L2" s="2" t="inlineStr">
        <is>
          <t>Green</t>
        </is>
      </c>
      <c r="M2" s="2" t="inlineStr">
        <is>
          <t>Minor access coordination</t>
        </is>
      </c>
      <c r="N2" s="2" t="inlineStr">
        <is>
          <t>No material impact</t>
        </is>
      </c>
      <c r="O2" s="2" t="inlineStr">
        <is>
          <t>Monitor daily progress</t>
        </is>
      </c>
      <c r="P2" s="2" t="inlineStr">
        <is>
          <t>Section Engineer</t>
        </is>
      </c>
      <c r="Q2" s="3" t="n">
        <v>46148</v>
      </c>
      <c r="R2" s="2" t="inlineStr">
        <is>
          <t>P-001,P-002</t>
        </is>
      </c>
      <c r="S2" s="2" t="n"/>
      <c r="T2" s="2" t="inlineStr">
        <is>
          <t>M-003</t>
        </is>
      </c>
      <c r="U2" s="2" t="n"/>
    </row>
    <row r="3" ht="15" customHeight="1">
      <c r="A3" s="2" t="inlineStr">
        <is>
          <t>PRG-002</t>
        </is>
      </c>
      <c r="B3" s="2" t="inlineStr">
        <is>
          <t>Tower A</t>
        </is>
      </c>
      <c r="C3" s="2" t="inlineStr">
        <is>
          <t>L13-L15</t>
        </is>
      </c>
      <c r="D3" s="2" t="inlineStr">
        <is>
          <t>MVAC</t>
        </is>
      </c>
      <c r="E3" s="2" t="inlineStr">
        <is>
          <t>Ductwork installation</t>
        </is>
      </c>
      <c r="F3" s="5" t="n">
        <v>0.72</v>
      </c>
      <c r="G3" s="5" t="n">
        <v>0.63</v>
      </c>
      <c r="H3" s="5" t="n">
        <v>-0.08999999999999997</v>
      </c>
      <c r="I3" s="2" t="n">
        <v>950</v>
      </c>
      <c r="J3" s="2" t="n">
        <v>810</v>
      </c>
      <c r="K3" s="2" t="inlineStr">
        <is>
          <t>m</t>
        </is>
      </c>
      <c r="L3" s="2" t="inlineStr">
        <is>
          <t>Yellow</t>
        </is>
      </c>
      <c r="M3" s="2" t="inlineStr">
        <is>
          <t>Access conflict with ceiling framing</t>
        </is>
      </c>
      <c r="N3" s="2" t="inlineStr">
        <is>
          <t>May affect ceiling closure sequence</t>
        </is>
      </c>
      <c r="O3" s="2" t="inlineStr">
        <is>
          <t>Resequence with fit-out team</t>
        </is>
      </c>
      <c r="P3" s="2" t="inlineStr">
        <is>
          <t>Construction Manager</t>
        </is>
      </c>
      <c r="Q3" s="3" t="n">
        <v>46150</v>
      </c>
      <c r="R3" s="2" t="inlineStr">
        <is>
          <t>P-011,P-012</t>
        </is>
      </c>
      <c r="S3" s="2" t="inlineStr">
        <is>
          <t>RFI-034</t>
        </is>
      </c>
      <c r="T3" s="2" t="inlineStr">
        <is>
          <t>M-006</t>
        </is>
      </c>
      <c r="U3" s="2" t="n"/>
    </row>
    <row r="4" ht="15" customHeight="1">
      <c r="A4" s="2" t="inlineStr">
        <is>
          <t>PRG-003</t>
        </is>
      </c>
      <c r="B4" s="2" t="inlineStr">
        <is>
          <t>Zone B</t>
        </is>
      </c>
      <c r="C4" s="2" t="inlineStr">
        <is>
          <t>L16-L18</t>
        </is>
      </c>
      <c r="D4" s="2" t="inlineStr">
        <is>
          <t>MVAC</t>
        </is>
      </c>
      <c r="E4" s="2" t="inlineStr">
        <is>
          <t>E&amp;M first fix</t>
        </is>
      </c>
      <c r="F4" s="5" t="n">
        <v>0.7</v>
      </c>
      <c r="G4" s="5" t="n">
        <v>0.58</v>
      </c>
      <c r="H4" s="5" t="n">
        <v>-0.12</v>
      </c>
      <c r="I4" s="2" t="n">
        <v>1100</v>
      </c>
      <c r="J4" s="2" t="n">
        <v>910</v>
      </c>
      <c r="K4" s="2" t="inlineStr">
        <is>
          <t>m</t>
        </is>
      </c>
      <c r="L4" s="2" t="inlineStr">
        <is>
          <t>Red</t>
        </is>
      </c>
      <c r="M4" s="2" t="inlineStr">
        <is>
          <t>Design clash: duct route vs structural beam</t>
        </is>
      </c>
      <c r="N4" s="2" t="inlineStr">
        <is>
          <t>Potential delay to ceiling closure and inspection</t>
        </is>
      </c>
      <c r="O4" s="2" t="inlineStr">
        <is>
          <t>Escalate RFI-034; prepare alternative route sketch</t>
        </is>
      </c>
      <c r="P4" s="2" t="inlineStr">
        <is>
          <t>PM / Technical Manager</t>
        </is>
      </c>
      <c r="Q4" s="3" t="n">
        <v>46147</v>
      </c>
      <c r="R4" s="2" t="inlineStr">
        <is>
          <t>P-042,P-043</t>
        </is>
      </c>
      <c r="S4" s="2" t="inlineStr">
        <is>
          <t>RFI-034</t>
        </is>
      </c>
      <c r="T4" s="2" t="inlineStr">
        <is>
          <t>M-006</t>
        </is>
      </c>
      <c r="U4" s="2" t="n"/>
    </row>
    <row r="5" ht="15" customHeight="1">
      <c r="A5" s="2" t="inlineStr">
        <is>
          <t>PRG-004</t>
        </is>
      </c>
      <c r="B5" s="2" t="inlineStr">
        <is>
          <t>Podium</t>
        </is>
      </c>
      <c r="C5" s="2" t="inlineStr">
        <is>
          <t>L1-L2</t>
        </is>
      </c>
      <c r="D5" s="2" t="inlineStr">
        <is>
          <t>Fire Services</t>
        </is>
      </c>
      <c r="E5" s="2" t="inlineStr">
        <is>
          <t>Sprinkler pipework</t>
        </is>
      </c>
      <c r="F5" s="5" t="n">
        <v>0.85</v>
      </c>
      <c r="G5" s="5" t="n">
        <v>0.8</v>
      </c>
      <c r="H5" s="5" t="n">
        <v>-0.04999999999999993</v>
      </c>
      <c r="I5" s="2" t="n">
        <v>780</v>
      </c>
      <c r="J5" s="2" t="n">
        <v>740</v>
      </c>
      <c r="K5" s="2" t="inlineStr">
        <is>
          <t>m</t>
        </is>
      </c>
      <c r="L5" s="2" t="inlineStr">
        <is>
          <t>Green</t>
        </is>
      </c>
      <c r="M5" s="2" t="inlineStr">
        <is>
          <t>Manpower slightly below plan</t>
        </is>
      </c>
      <c r="N5" s="2" t="inlineStr">
        <is>
          <t>Low impact if recovered next week</t>
        </is>
      </c>
      <c r="O5" s="2" t="inlineStr">
        <is>
          <t>Add 4-person crew for two evenings</t>
        </is>
      </c>
      <c r="P5" s="2" t="inlineStr">
        <is>
          <t>Construction Manager</t>
        </is>
      </c>
      <c r="Q5" s="3" t="n">
        <v>46149</v>
      </c>
      <c r="R5" s="2" t="inlineStr">
        <is>
          <t>P-021</t>
        </is>
      </c>
      <c r="S5" s="2" t="n"/>
      <c r="T5" s="2" t="inlineStr">
        <is>
          <t>M-004</t>
        </is>
      </c>
      <c r="U5" s="2" t="n"/>
    </row>
    <row r="6" ht="15" customHeight="1">
      <c r="A6" s="2" t="inlineStr">
        <is>
          <t>PRG-005</t>
        </is>
      </c>
      <c r="B6" s="2" t="inlineStr">
        <is>
          <t>Plant Room</t>
        </is>
      </c>
      <c r="C6" s="2" t="inlineStr">
        <is>
          <t>B2</t>
        </is>
      </c>
      <c r="D6" s="2" t="inlineStr">
        <is>
          <t>MVAC</t>
        </is>
      </c>
      <c r="E6" s="2" t="inlineStr">
        <is>
          <t>AHU plinth and builder's work readiness</t>
        </is>
      </c>
      <c r="F6" s="5" t="n">
        <v>0.5</v>
      </c>
      <c r="G6" s="5" t="n">
        <v>0.45</v>
      </c>
      <c r="H6" s="5" t="n">
        <v>-0.04999999999999999</v>
      </c>
      <c r="I6" s="2" t="n">
        <v>8</v>
      </c>
      <c r="J6" s="2" t="n">
        <v>7</v>
      </c>
      <c r="K6" s="2" t="inlineStr">
        <is>
          <t>no.</t>
        </is>
      </c>
      <c r="L6" s="2" t="inlineStr">
        <is>
          <t>Yellow</t>
        </is>
      </c>
      <c r="M6" s="2" t="inlineStr">
        <is>
          <t>AHU delivery forecast slip</t>
        </is>
      </c>
      <c r="N6" s="2" t="inlineStr">
        <is>
          <t>Plant room installation may move by 9 days</t>
        </is>
      </c>
      <c r="O6" s="2" t="inlineStr">
        <is>
          <t>Supplier recovery meeting</t>
        </is>
      </c>
      <c r="P6" s="2" t="inlineStr">
        <is>
          <t>Procurement Manager</t>
        </is>
      </c>
      <c r="Q6" s="3" t="n">
        <v>46148</v>
      </c>
      <c r="R6" s="2" t="inlineStr">
        <is>
          <t>P-031</t>
        </is>
      </c>
      <c r="S6" s="2" t="inlineStr">
        <is>
          <t>MAT-021</t>
        </is>
      </c>
      <c r="T6" s="2" t="inlineStr">
        <is>
          <t>M-012</t>
        </is>
      </c>
      <c r="U6" s="2" t="n"/>
    </row>
    <row r="7" ht="15" customHeight="1">
      <c r="A7" s="2" t="inlineStr">
        <is>
          <t>PRG-006</t>
        </is>
      </c>
      <c r="B7" s="2" t="inlineStr">
        <is>
          <t>Tower A</t>
        </is>
      </c>
      <c r="C7" s="2" t="inlineStr">
        <is>
          <t>L20-L23</t>
        </is>
      </c>
      <c r="D7" s="2" t="inlineStr">
        <is>
          <t>Electrical</t>
        </is>
      </c>
      <c r="E7" s="2" t="inlineStr">
        <is>
          <t>Small power containment</t>
        </is>
      </c>
      <c r="F7" s="5" t="n">
        <v>0.6</v>
      </c>
      <c r="G7" s="5" t="n"/>
      <c r="H7" s="5">
        <f>IF(G7="","",G7-F7)</f>
        <v/>
      </c>
      <c r="I7" s="2" t="n">
        <v>620</v>
      </c>
      <c r="J7" s="2" t="n"/>
      <c r="K7" s="2" t="inlineStr">
        <is>
          <t>m</t>
        </is>
      </c>
      <c r="L7" s="2" t="inlineStr">
        <is>
          <t>Data Gap</t>
        </is>
      </c>
      <c r="M7" s="2" t="inlineStr">
        <is>
          <t>Data not updated by section team</t>
        </is>
      </c>
      <c r="N7" s="2" t="inlineStr">
        <is>
          <t>AI must not infer progress</t>
        </is>
      </c>
      <c r="O7" s="2" t="inlineStr">
        <is>
          <t>Request actual progress update before final report</t>
        </is>
      </c>
      <c r="P7" s="2" t="inlineStr">
        <is>
          <t>Section Engineer</t>
        </is>
      </c>
      <c r="Q7" s="3" t="n">
        <v>46145</v>
      </c>
      <c r="R7" s="2" t="n"/>
      <c r="S7" s="2" t="n"/>
      <c r="T7" s="2" t="inlineStr">
        <is>
          <t>M-009</t>
        </is>
      </c>
      <c r="U7" s="2" t="inlineStr">
        <is>
          <t>Missing Actual % and Actual Qty</t>
        </is>
      </c>
    </row>
    <row r="8" ht="15" customHeight="1">
      <c r="A8" s="2" t="inlineStr">
        <is>
          <t>PRG-007</t>
        </is>
      </c>
      <c r="B8" s="2" t="inlineStr">
        <is>
          <t>Tower A</t>
        </is>
      </c>
      <c r="C8" s="2" t="inlineStr">
        <is>
          <t>L08-L09</t>
        </is>
      </c>
      <c r="D8" s="2" t="inlineStr">
        <is>
          <t>ELV</t>
        </is>
      </c>
      <c r="E8" s="2" t="inlineStr">
        <is>
          <t>ELV trunking</t>
        </is>
      </c>
      <c r="F8" s="5" t="n">
        <v>0.55</v>
      </c>
      <c r="G8" s="5" t="n">
        <v>0.6</v>
      </c>
      <c r="H8" s="5" t="n">
        <v>0.04999999999999993</v>
      </c>
      <c r="I8" s="2" t="n">
        <v>480</v>
      </c>
      <c r="J8" s="2" t="n">
        <v>520</v>
      </c>
      <c r="K8" s="2" t="inlineStr">
        <is>
          <t>m</t>
        </is>
      </c>
      <c r="L8" s="2" t="inlineStr">
        <is>
          <t>Green</t>
        </is>
      </c>
      <c r="M8" s="2" t="inlineStr">
        <is>
          <t>Ahead due to clear access</t>
        </is>
      </c>
      <c r="N8" s="2" t="inlineStr">
        <is>
          <t>Positive buffer</t>
        </is>
      </c>
      <c r="O8" s="2" t="inlineStr">
        <is>
          <t>Keep crew allocation</t>
        </is>
      </c>
      <c r="P8" s="2" t="inlineStr">
        <is>
          <t>ELV Engineer</t>
        </is>
      </c>
      <c r="Q8" s="3" t="n">
        <v>46146</v>
      </c>
      <c r="R8" s="2" t="inlineStr">
        <is>
          <t>P-015</t>
        </is>
      </c>
      <c r="S8" s="2" t="n"/>
      <c r="T8" s="2" t="inlineStr">
        <is>
          <t>M-002</t>
        </is>
      </c>
      <c r="U8" s="2" t="n"/>
    </row>
    <row r="9" ht="15" customHeight="1">
      <c r="A9" s="2" t="inlineStr">
        <is>
          <t>PRG-008</t>
        </is>
      </c>
      <c r="B9" s="2" t="inlineStr">
        <is>
          <t>Back of House</t>
        </is>
      </c>
      <c r="C9" s="2" t="inlineStr">
        <is>
          <t>B1</t>
        </is>
      </c>
      <c r="D9" s="2" t="inlineStr">
        <is>
          <t>Plumbing</t>
        </is>
      </c>
      <c r="E9" s="2" t="inlineStr">
        <is>
          <t>Drainage pipework</t>
        </is>
      </c>
      <c r="F9" s="5" t="n">
        <v>0.65</v>
      </c>
      <c r="G9" s="5" t="n">
        <v>0.62</v>
      </c>
      <c r="H9" s="5" t="n">
        <v>-0.03000000000000003</v>
      </c>
      <c r="I9" s="2" t="n">
        <v>360</v>
      </c>
      <c r="J9" s="2" t="n">
        <v>345</v>
      </c>
      <c r="K9" s="2" t="inlineStr">
        <is>
          <t>m</t>
        </is>
      </c>
      <c r="L9" s="2" t="inlineStr">
        <is>
          <t>Green</t>
        </is>
      </c>
      <c r="M9" s="2" t="inlineStr">
        <is>
          <t>Minor coordination with builders work</t>
        </is>
      </c>
      <c r="N9" s="2" t="inlineStr">
        <is>
          <t>No critical impact</t>
        </is>
      </c>
      <c r="O9" s="2" t="inlineStr">
        <is>
          <t>Monitor inspection readiness</t>
        </is>
      </c>
      <c r="P9" s="2" t="inlineStr">
        <is>
          <t>Site Engineer</t>
        </is>
      </c>
      <c r="Q9" s="3" t="n">
        <v>46151</v>
      </c>
      <c r="R9" s="2" t="inlineStr">
        <is>
          <t>P-018</t>
        </is>
      </c>
      <c r="S9" s="2" t="n"/>
      <c r="T9" s="2" t="inlineStr">
        <is>
          <t>M-005</t>
        </is>
      </c>
      <c r="U9" s="2" t="n"/>
    </row>
    <row r="10" ht="15" customHeight="1">
      <c r="A10" s="2" t="inlineStr">
        <is>
          <t>PRG-009</t>
        </is>
      </c>
      <c r="B10" s="2" t="inlineStr">
        <is>
          <t>Retail</t>
        </is>
      </c>
      <c r="C10" s="2" t="inlineStr">
        <is>
          <t>G/F</t>
        </is>
      </c>
      <c r="D10" s="2" t="inlineStr">
        <is>
          <t>Fit-out Interface</t>
        </is>
      </c>
      <c r="E10" s="2" t="inlineStr">
        <is>
          <t>Ceiling closure readiness</t>
        </is>
      </c>
      <c r="F10" s="5" t="n">
        <v>0.4</v>
      </c>
      <c r="G10" s="5" t="n">
        <v>0.32</v>
      </c>
      <c r="H10" s="5" t="n">
        <v>-0.08000000000000002</v>
      </c>
      <c r="I10" s="2" t="n">
        <v>22</v>
      </c>
      <c r="J10" s="2" t="n">
        <v>18</v>
      </c>
      <c r="K10" s="2" t="inlineStr">
        <is>
          <t>bay</t>
        </is>
      </c>
      <c r="L10" s="2" t="inlineStr">
        <is>
          <t>Yellow</t>
        </is>
      </c>
      <c r="M10" s="2" t="inlineStr">
        <is>
          <t>Dependent on unresolved E&amp;M clash</t>
        </is>
      </c>
      <c r="N10" s="2" t="inlineStr">
        <is>
          <t>Risk to fit-out handover sequence</t>
        </is>
      </c>
      <c r="O10" s="2" t="inlineStr">
        <is>
          <t>Hold interface meeting</t>
        </is>
      </c>
      <c r="P10" s="2" t="inlineStr">
        <is>
          <t>PM</t>
        </is>
      </c>
      <c r="Q10" s="3" t="n">
        <v>46149</v>
      </c>
      <c r="R10" s="2" t="inlineStr">
        <is>
          <t>P-050</t>
        </is>
      </c>
      <c r="S10" s="2" t="inlineStr">
        <is>
          <t>RFI-039</t>
        </is>
      </c>
      <c r="T10" s="2" t="inlineStr">
        <is>
          <t>M-013</t>
        </is>
      </c>
      <c r="U10" s="2" t="n"/>
    </row>
    <row r="11" ht="15" customHeight="1">
      <c r="A11" s="2" t="inlineStr">
        <is>
          <t>PRG-010</t>
        </is>
      </c>
      <c r="B11" s="2" t="inlineStr">
        <is>
          <t>External Yard</t>
        </is>
      </c>
      <c r="C11" s="2" t="inlineStr">
        <is>
          <t>G/F</t>
        </is>
      </c>
      <c r="D11" s="2" t="inlineStr">
        <is>
          <t>Builder's Works</t>
        </is>
      </c>
      <c r="E11" s="2" t="inlineStr">
        <is>
          <t>Openings and sleeves</t>
        </is>
      </c>
      <c r="F11" s="5" t="n">
        <v>0.45</v>
      </c>
      <c r="G11" s="5" t="n">
        <v>0.48</v>
      </c>
      <c r="H11" s="5" t="n">
        <v>0.02999999999999997</v>
      </c>
      <c r="I11" s="2" t="n">
        <v>44</v>
      </c>
      <c r="J11" s="2" t="n">
        <v>47</v>
      </c>
      <c r="K11" s="2" t="inlineStr">
        <is>
          <t>no.</t>
        </is>
      </c>
      <c r="L11" s="2" t="inlineStr">
        <is>
          <t>Green</t>
        </is>
      </c>
      <c r="M11" s="2" t="inlineStr">
        <is>
          <t>Ahead of plan</t>
        </is>
      </c>
      <c r="N11" s="2" t="inlineStr">
        <is>
          <t>Positive buffer</t>
        </is>
      </c>
      <c r="O11" s="2" t="inlineStr">
        <is>
          <t>Maintain QA record</t>
        </is>
      </c>
      <c r="P11" s="2" t="inlineStr">
        <is>
          <t>Site Engineer</t>
        </is>
      </c>
      <c r="Q11" s="3" t="n">
        <v>46144</v>
      </c>
      <c r="R11" s="2" t="inlineStr">
        <is>
          <t>P-061</t>
        </is>
      </c>
      <c r="S11" s="2" t="n"/>
      <c r="T11" s="2" t="inlineStr">
        <is>
          <t>M-007</t>
        </is>
      </c>
      <c r="U11" s="2" t="n"/>
    </row>
    <row r="12" ht="15" customHeight="1">
      <c r="A12" s="2" t="inlineStr">
        <is>
          <t>PRG-011</t>
        </is>
      </c>
      <c r="B12" s="2" t="inlineStr">
        <is>
          <t>Tower A</t>
        </is>
      </c>
      <c r="C12" s="2" t="inlineStr">
        <is>
          <t>L04-L06</t>
        </is>
      </c>
      <c r="D12" s="2" t="inlineStr">
        <is>
          <t>T&amp;C</t>
        </is>
      </c>
      <c r="E12" s="2" t="inlineStr">
        <is>
          <t>Pre-T&amp;C checks</t>
        </is>
      </c>
      <c r="F12" s="5" t="n">
        <v>0.2</v>
      </c>
      <c r="G12" s="5" t="n">
        <v>0.18</v>
      </c>
      <c r="H12" s="5" t="n">
        <v>-0.02000000000000002</v>
      </c>
      <c r="I12" s="2" t="n">
        <v>30</v>
      </c>
      <c r="J12" s="2" t="n">
        <v>27</v>
      </c>
      <c r="K12" s="2" t="inlineStr">
        <is>
          <t>check</t>
        </is>
      </c>
      <c r="L12" s="2" t="inlineStr">
        <is>
          <t>Green</t>
        </is>
      </c>
      <c r="M12" s="2" t="inlineStr">
        <is>
          <t>Access to DB rooms partial</t>
        </is>
      </c>
      <c r="N12" s="2" t="inlineStr">
        <is>
          <t>Low impact currently</t>
        </is>
      </c>
      <c r="O12" s="2" t="inlineStr">
        <is>
          <t>Confirm room handover dates</t>
        </is>
      </c>
      <c r="P12" s="2" t="inlineStr">
        <is>
          <t>T&amp;C Manager</t>
        </is>
      </c>
      <c r="Q12" s="3" t="n">
        <v>46157</v>
      </c>
      <c r="R12" s="2" t="inlineStr">
        <is>
          <t>P-071</t>
        </is>
      </c>
      <c r="S12" s="2" t="n"/>
      <c r="T12" s="2" t="inlineStr">
        <is>
          <t>M-014</t>
        </is>
      </c>
      <c r="U12" s="2" t="n"/>
    </row>
    <row r="13" ht="15" customHeight="1">
      <c r="A13" s="2" t="inlineStr">
        <is>
          <t>PRG-012</t>
        </is>
      </c>
      <c r="B13" s="2" t="inlineStr">
        <is>
          <t>Tower A</t>
        </is>
      </c>
      <c r="C13" s="2" t="inlineStr">
        <is>
          <t>L16-L18</t>
        </is>
      </c>
      <c r="D13" s="2" t="inlineStr">
        <is>
          <t>Fit-out Interface</t>
        </is>
      </c>
      <c r="E13" s="2" t="inlineStr">
        <is>
          <t>Ceiling closure</t>
        </is>
      </c>
      <c r="F13" s="5" t="n">
        <v>0.55</v>
      </c>
      <c r="G13" s="5" t="n">
        <v>0.4</v>
      </c>
      <c r="H13" s="5" t="n">
        <v>-0.15</v>
      </c>
      <c r="I13" s="2" t="n">
        <v>28</v>
      </c>
      <c r="J13" s="2" t="n">
        <v>20</v>
      </c>
      <c r="K13" s="2" t="inlineStr">
        <is>
          <t>bay</t>
        </is>
      </c>
      <c r="L13" s="2" t="inlineStr">
        <is>
          <t>Red</t>
        </is>
      </c>
      <c r="M13" s="2" t="inlineStr">
        <is>
          <t>Blocked by MVAC first fix delay</t>
        </is>
      </c>
      <c r="N13" s="2" t="inlineStr">
        <is>
          <t>Critical interface risk</t>
        </is>
      </c>
      <c r="O13" s="2" t="inlineStr">
        <is>
          <t>Approve recovery shift after RFI escalation</t>
        </is>
      </c>
      <c r="P13" s="2" t="inlineStr">
        <is>
          <t>Project Director</t>
        </is>
      </c>
      <c r="Q13" s="3" t="n">
        <v>46149</v>
      </c>
      <c r="R13" s="2" t="inlineStr">
        <is>
          <t>P-080</t>
        </is>
      </c>
      <c r="S13" s="2" t="inlineStr">
        <is>
          <t>RFI-034</t>
        </is>
      </c>
      <c r="T13" s="2" t="inlineStr">
        <is>
          <t>M-013</t>
        </is>
      </c>
      <c r="U13" s="2" t="n"/>
    </row>
  </sheetData>
  <dataValidations count="1">
    <dataValidation sqref="L2:L13" showDropDown="0" showInputMessage="0" showErrorMessage="0" allowBlank="0" type="list">
      <formula1>"Green,Amber,Red,Data Gap"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4.25"/>
  <cols>
    <col width="12" customWidth="1" min="1" max="1"/>
    <col width="44" customWidth="1" min="2" max="2"/>
    <col width="16" customWidth="1" min="3" max="3"/>
    <col width="20" customWidth="1" min="4" max="4"/>
    <col width="14" customWidth="1" min="5" max="6"/>
    <col width="20" customWidth="1" min="7" max="8"/>
    <col width="36" customWidth="1" min="9" max="9"/>
    <col width="48" customWidth="1" min="10" max="10"/>
    <col width="22" customWidth="1" min="11" max="11"/>
    <col width="12" customWidth="1" min="12" max="12"/>
    <col width="34" customWidth="1" min="13" max="13"/>
  </cols>
  <sheetData>
    <row r="1" ht="15" customHeight="1">
      <c r="A1" s="1" t="inlineStr">
        <is>
          <t>Milestone_ID</t>
        </is>
      </c>
      <c r="B1" s="1" t="inlineStr">
        <is>
          <t>Milestone_Name</t>
        </is>
      </c>
      <c r="C1" s="1" t="inlineStr">
        <is>
          <t>Baseline_Date</t>
        </is>
      </c>
      <c r="D1" s="1" t="inlineStr">
        <is>
          <t>Current_Forecast_Date</t>
        </is>
      </c>
      <c r="E1" s="1" t="inlineStr">
        <is>
          <t>Variance_Days</t>
        </is>
      </c>
      <c r="F1" s="1" t="inlineStr">
        <is>
          <t>Critical_Path</t>
        </is>
      </c>
      <c r="G1" s="1" t="inlineStr">
        <is>
          <t>Linked_Progress_Item</t>
        </is>
      </c>
      <c r="H1" s="1" t="inlineStr">
        <is>
          <t>Linked_RFI_Submission</t>
        </is>
      </c>
      <c r="I1" s="1" t="inlineStr">
        <is>
          <t>Reason</t>
        </is>
      </c>
      <c r="J1" s="1" t="inlineStr">
        <is>
          <t>Recovery_Action</t>
        </is>
      </c>
      <c r="K1" s="1" t="inlineStr">
        <is>
          <t>Owner</t>
        </is>
      </c>
      <c r="L1" s="1" t="inlineStr">
        <is>
          <t>RAG_Status</t>
        </is>
      </c>
      <c r="M1" s="1" t="inlineStr">
        <is>
          <t>Review_Note</t>
        </is>
      </c>
    </row>
    <row r="2" ht="15" customHeight="1">
      <c r="A2" s="2" t="inlineStr">
        <is>
          <t>M-001</t>
        </is>
      </c>
      <c r="B2" s="2" t="inlineStr">
        <is>
          <t>Mobilisation completed</t>
        </is>
      </c>
      <c r="C2" s="3" t="n">
        <v>46037</v>
      </c>
      <c r="D2" s="3" t="n">
        <v>46037</v>
      </c>
      <c r="E2" s="2" t="n">
        <v>0</v>
      </c>
      <c r="F2" s="2" t="inlineStr">
        <is>
          <t>No</t>
        </is>
      </c>
      <c r="G2" s="2" t="n"/>
      <c r="H2" s="2" t="n"/>
      <c r="I2" s="2" t="inlineStr">
        <is>
          <t>Completed</t>
        </is>
      </c>
      <c r="J2" s="2" t="inlineStr">
        <is>
          <t>N/A</t>
        </is>
      </c>
      <c r="K2" s="2" t="inlineStr">
        <is>
          <t>PM</t>
        </is>
      </c>
      <c r="L2" s="2" t="inlineStr">
        <is>
          <t>Green</t>
        </is>
      </c>
      <c r="M2" s="2" t="inlineStr">
        <is>
          <t>Historical completed milestone</t>
        </is>
      </c>
    </row>
    <row r="3" ht="15" customHeight="1">
      <c r="A3" s="2" t="inlineStr">
        <is>
          <t>M-002</t>
        </is>
      </c>
      <c r="B3" s="2" t="inlineStr">
        <is>
          <t>ELV trunking L08-L09 complete</t>
        </is>
      </c>
      <c r="C3" s="3" t="n">
        <v>46140</v>
      </c>
      <c r="D3" s="3" t="n">
        <v>46138</v>
      </c>
      <c r="E3" s="2" t="n">
        <v>-2</v>
      </c>
      <c r="F3" s="2" t="inlineStr">
        <is>
          <t>No</t>
        </is>
      </c>
      <c r="G3" s="2" t="inlineStr">
        <is>
          <t>PRG-007</t>
        </is>
      </c>
      <c r="H3" s="2" t="n"/>
      <c r="I3" s="2" t="inlineStr">
        <is>
          <t>Ahead of plan</t>
        </is>
      </c>
      <c r="J3" s="2" t="inlineStr">
        <is>
          <t>Keep resource stable</t>
        </is>
      </c>
      <c r="K3" s="2" t="inlineStr">
        <is>
          <t>ELV Engineer</t>
        </is>
      </c>
      <c r="L3" s="2" t="inlineStr">
        <is>
          <t>Green</t>
        </is>
      </c>
      <c r="M3" s="2" t="inlineStr">
        <is>
          <t>Positive progress</t>
        </is>
      </c>
    </row>
    <row r="4" ht="15" customHeight="1">
      <c r="A4" s="2" t="inlineStr">
        <is>
          <t>M-003</t>
        </is>
      </c>
      <c r="B4" s="2" t="inlineStr">
        <is>
          <t>Cable tray L10-L12 complete</t>
        </is>
      </c>
      <c r="C4" s="3" t="n">
        <v>46147</v>
      </c>
      <c r="D4" s="3" t="n">
        <v>46148</v>
      </c>
      <c r="E4" s="2" t="n">
        <v>1</v>
      </c>
      <c r="F4" s="2" t="inlineStr">
        <is>
          <t>No</t>
        </is>
      </c>
      <c r="G4" s="2" t="inlineStr">
        <is>
          <t>PRG-001</t>
        </is>
      </c>
      <c r="H4" s="2" t="n"/>
      <c r="I4" s="2" t="inlineStr">
        <is>
          <t>Minor access coordination</t>
        </is>
      </c>
      <c r="J4" s="2" t="inlineStr">
        <is>
          <t>Daily follow-up</t>
        </is>
      </c>
      <c r="K4" s="2" t="inlineStr">
        <is>
          <t>Section Engineer</t>
        </is>
      </c>
      <c r="L4" s="2" t="inlineStr">
        <is>
          <t>Yellow</t>
        </is>
      </c>
      <c r="M4" s="2" t="inlineStr">
        <is>
          <t>Low risk</t>
        </is>
      </c>
    </row>
    <row r="5" ht="15" customHeight="1">
      <c r="A5" s="2" t="inlineStr">
        <is>
          <t>M-004</t>
        </is>
      </c>
      <c r="B5" s="2" t="inlineStr">
        <is>
          <t>Sprinkler pipework Podium L1-L2 complete</t>
        </is>
      </c>
      <c r="C5" s="3" t="n">
        <v>46150</v>
      </c>
      <c r="D5" s="3" t="n">
        <v>46152</v>
      </c>
      <c r="E5" s="2" t="n">
        <v>2</v>
      </c>
      <c r="F5" s="2" t="inlineStr">
        <is>
          <t>No</t>
        </is>
      </c>
      <c r="G5" s="2" t="inlineStr">
        <is>
          <t>PRG-004</t>
        </is>
      </c>
      <c r="H5" s="2" t="n"/>
      <c r="I5" s="2" t="inlineStr">
        <is>
          <t>Manpower below plan</t>
        </is>
      </c>
      <c r="J5" s="2" t="inlineStr">
        <is>
          <t>Add evening crew</t>
        </is>
      </c>
      <c r="K5" s="2" t="inlineStr">
        <is>
          <t>Construction Manager</t>
        </is>
      </c>
      <c r="L5" s="2" t="inlineStr">
        <is>
          <t>Yellow</t>
        </is>
      </c>
      <c r="M5" s="2" t="inlineStr">
        <is>
          <t>Monitor</t>
        </is>
      </c>
    </row>
    <row r="6" ht="15" customHeight="1">
      <c r="A6" s="2" t="inlineStr">
        <is>
          <t>M-005</t>
        </is>
      </c>
      <c r="B6" s="2" t="inlineStr">
        <is>
          <t>Drainage pipework B1 complete</t>
        </is>
      </c>
      <c r="C6" s="3" t="n">
        <v>46154</v>
      </c>
      <c r="D6" s="3" t="n">
        <v>46155</v>
      </c>
      <c r="E6" s="2" t="n">
        <v>1</v>
      </c>
      <c r="F6" s="2" t="inlineStr">
        <is>
          <t>No</t>
        </is>
      </c>
      <c r="G6" s="2" t="inlineStr">
        <is>
          <t>PRG-008</t>
        </is>
      </c>
      <c r="H6" s="2" t="n"/>
      <c r="I6" s="2" t="inlineStr">
        <is>
          <t>Inspection coordination</t>
        </is>
      </c>
      <c r="J6" s="2" t="inlineStr">
        <is>
          <t>Confirm inspection booking</t>
        </is>
      </c>
      <c r="K6" s="2" t="inlineStr">
        <is>
          <t>Site Engineer</t>
        </is>
      </c>
      <c r="L6" s="2" t="inlineStr">
        <is>
          <t>Yellow</t>
        </is>
      </c>
      <c r="M6" s="2" t="inlineStr">
        <is>
          <t>Monitor</t>
        </is>
      </c>
    </row>
    <row r="7" ht="15" customHeight="1">
      <c r="A7" s="2" t="inlineStr">
        <is>
          <t>M-006</t>
        </is>
      </c>
      <c r="B7" s="2" t="inlineStr">
        <is>
          <t>Complete E&amp;M first fix Zone B</t>
        </is>
      </c>
      <c r="C7" s="3" t="n">
        <v>46157</v>
      </c>
      <c r="D7" s="3" t="n">
        <v>46167</v>
      </c>
      <c r="E7" s="2" t="n">
        <v>10</v>
      </c>
      <c r="F7" s="2" t="inlineStr">
        <is>
          <t>Yes</t>
        </is>
      </c>
      <c r="G7" s="2" t="inlineStr">
        <is>
          <t>PRG-003</t>
        </is>
      </c>
      <c r="H7" s="2" t="inlineStr">
        <is>
          <t>RFI-034</t>
        </is>
      </c>
      <c r="I7" s="2" t="inlineStr">
        <is>
          <t>RFI-034 pending; duct/beam clash</t>
        </is>
      </c>
      <c r="J7" s="2" t="inlineStr">
        <is>
          <t>Escalate to consultant and issue recovery sequence</t>
        </is>
      </c>
      <c r="K7" s="2" t="inlineStr">
        <is>
          <t>PM / Planner</t>
        </is>
      </c>
      <c r="L7" s="2" t="inlineStr">
        <is>
          <t>Red</t>
        </is>
      </c>
      <c r="M7" s="2" t="inlineStr">
        <is>
          <t>Critical path impact</t>
        </is>
      </c>
    </row>
    <row r="8" ht="15" customHeight="1">
      <c r="A8" s="2" t="inlineStr">
        <is>
          <t>M-007</t>
        </is>
      </c>
      <c r="B8" s="2" t="inlineStr">
        <is>
          <t>Builder's works openings complete</t>
        </is>
      </c>
      <c r="C8" s="3" t="n">
        <v>46162</v>
      </c>
      <c r="D8" s="3" t="n">
        <v>46160</v>
      </c>
      <c r="E8" s="2" t="n">
        <v>-2</v>
      </c>
      <c r="F8" s="2" t="inlineStr">
        <is>
          <t>No</t>
        </is>
      </c>
      <c r="G8" s="2" t="inlineStr">
        <is>
          <t>PRG-010</t>
        </is>
      </c>
      <c r="H8" s="2" t="n"/>
      <c r="I8" s="2" t="inlineStr">
        <is>
          <t>Ahead</t>
        </is>
      </c>
      <c r="J8" s="2" t="inlineStr">
        <is>
          <t>Maintain QA records</t>
        </is>
      </c>
      <c r="K8" s="2" t="inlineStr">
        <is>
          <t>Site Engineer</t>
        </is>
      </c>
      <c r="L8" s="2" t="inlineStr">
        <is>
          <t>Green</t>
        </is>
      </c>
      <c r="M8" s="2" t="inlineStr">
        <is>
          <t>Positive</t>
        </is>
      </c>
    </row>
    <row r="9" ht="15" customHeight="1">
      <c r="A9" s="2" t="inlineStr">
        <is>
          <t>M-009</t>
        </is>
      </c>
      <c r="B9" s="2" t="inlineStr">
        <is>
          <t>Small power containment L20-L23 complete</t>
        </is>
      </c>
      <c r="C9" s="3" t="n">
        <v>46164</v>
      </c>
      <c r="D9" s="3" t="n">
        <v>46166</v>
      </c>
      <c r="E9" s="2" t="n">
        <v>2</v>
      </c>
      <c r="F9" s="2" t="inlineStr">
        <is>
          <t>No</t>
        </is>
      </c>
      <c r="G9" s="2" t="inlineStr">
        <is>
          <t>PRG-006</t>
        </is>
      </c>
      <c r="H9" s="2" t="n"/>
      <c r="I9" s="2" t="inlineStr">
        <is>
          <t>Progress data missing</t>
        </is>
      </c>
      <c r="J9" s="2" t="inlineStr">
        <is>
          <t>Request update; verify on site</t>
        </is>
      </c>
      <c r="K9" s="2" t="inlineStr">
        <is>
          <t>Section Engineer</t>
        </is>
      </c>
      <c r="L9" s="2" t="inlineStr">
        <is>
          <t>Yellow</t>
        </is>
      </c>
      <c r="M9" s="2" t="inlineStr">
        <is>
          <t>Data gap impacts confidence</t>
        </is>
      </c>
    </row>
    <row r="10" ht="15" customHeight="1">
      <c r="A10" s="2" t="inlineStr">
        <is>
          <t>M-012</t>
        </is>
      </c>
      <c r="B10" s="2" t="inlineStr">
        <is>
          <t>AHU delivery / plant room installation readiness</t>
        </is>
      </c>
      <c r="C10" s="3" t="n">
        <v>46174</v>
      </c>
      <c r="D10" s="3" t="n">
        <v>46183</v>
      </c>
      <c r="E10" s="2" t="n">
        <v>9</v>
      </c>
      <c r="F10" s="2" t="inlineStr">
        <is>
          <t>Yes</t>
        </is>
      </c>
      <c r="G10" s="2" t="inlineStr">
        <is>
          <t>PRG-005</t>
        </is>
      </c>
      <c r="H10" s="2" t="inlineStr">
        <is>
          <t>MAT-021</t>
        </is>
      </c>
      <c r="I10" s="2" t="inlineStr">
        <is>
          <t>Forecast delivery slip</t>
        </is>
      </c>
      <c r="J10" s="2" t="inlineStr">
        <is>
          <t>Supplier recovery meeting</t>
        </is>
      </c>
      <c r="K10" s="2" t="inlineStr">
        <is>
          <t>Procurement Manager</t>
        </is>
      </c>
      <c r="L10" s="2" t="inlineStr">
        <is>
          <t>Red</t>
        </is>
      </c>
      <c r="M10" s="2" t="inlineStr">
        <is>
          <t>Potential critical plant room delay</t>
        </is>
      </c>
    </row>
    <row r="11" ht="15" customHeight="1">
      <c r="A11" s="2" t="inlineStr">
        <is>
          <t>M-013</t>
        </is>
      </c>
      <c r="B11" s="2" t="inlineStr">
        <is>
          <t>Ceiling closure Tower A L16-L18</t>
        </is>
      </c>
      <c r="C11" s="3" t="n">
        <v>46167</v>
      </c>
      <c r="D11" s="3" t="n">
        <v>46181</v>
      </c>
      <c r="E11" s="2" t="n">
        <v>14</v>
      </c>
      <c r="F11" s="2" t="inlineStr">
        <is>
          <t>Yes</t>
        </is>
      </c>
      <c r="G11" s="2" t="inlineStr">
        <is>
          <t>PRG-012</t>
        </is>
      </c>
      <c r="H11" s="2" t="inlineStr">
        <is>
          <t>RFI-034</t>
        </is>
      </c>
      <c r="I11" s="2" t="inlineStr">
        <is>
          <t>Blocked by first fix delay</t>
        </is>
      </c>
      <c r="J11" s="2" t="inlineStr">
        <is>
          <t>Approve recovery shift after design response</t>
        </is>
      </c>
      <c r="K11" s="2" t="inlineStr">
        <is>
          <t>Project Director</t>
        </is>
      </c>
      <c r="L11" s="2" t="inlineStr">
        <is>
          <t>Red</t>
        </is>
      </c>
      <c r="M11" s="2" t="inlineStr">
        <is>
          <t>Director decision required</t>
        </is>
      </c>
    </row>
    <row r="12" ht="15" customHeight="1">
      <c r="A12" s="2" t="inlineStr">
        <is>
          <t>M-014</t>
        </is>
      </c>
      <c r="B12" s="2" t="inlineStr">
        <is>
          <t>Pre-T&amp;C checks L04-L06 complete</t>
        </is>
      </c>
      <c r="C12" s="3" t="n">
        <v>46188</v>
      </c>
      <c r="D12" s="3" t="n">
        <v>46190</v>
      </c>
      <c r="E12" s="2" t="n">
        <v>2</v>
      </c>
      <c r="F12" s="2" t="inlineStr">
        <is>
          <t>No</t>
        </is>
      </c>
      <c r="G12" s="2" t="inlineStr">
        <is>
          <t>PRG-011</t>
        </is>
      </c>
      <c r="H12" s="2" t="n"/>
      <c r="I12" s="2" t="inlineStr">
        <is>
          <t>Room access partial</t>
        </is>
      </c>
      <c r="J12" s="2" t="inlineStr">
        <is>
          <t>Confirm room handover dates</t>
        </is>
      </c>
      <c r="K12" s="2" t="inlineStr">
        <is>
          <t>T&amp;C Manager</t>
        </is>
      </c>
      <c r="L12" s="2" t="inlineStr">
        <is>
          <t>Yellow</t>
        </is>
      </c>
      <c r="M12" s="2" t="inlineStr">
        <is>
          <t>Monitor</t>
        </is>
      </c>
    </row>
  </sheetData>
  <dataValidations count="2">
    <dataValidation sqref="L2:L12" showDropDown="0" showInputMessage="0" showErrorMessage="0" allowBlank="0" type="list">
      <formula1>"Green,Amber,Red,Data Gap"</formula1>
    </dataValidation>
    <dataValidation sqref="F2:F2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F1" workbookViewId="0">
      <selection activeCell="A1" sqref="A1"/>
    </sheetView>
  </sheetViews>
  <sheetFormatPr baseColWidth="8" defaultRowHeight="14.25"/>
  <cols>
    <col width="12" customWidth="1" min="1" max="1"/>
    <col width="18" customWidth="1" min="2" max="3"/>
    <col width="42" customWidth="1" min="4" max="4"/>
    <col width="18" customWidth="1" min="5" max="6"/>
    <col width="20" customWidth="1" min="7" max="7"/>
    <col width="18" customWidth="1" min="8" max="8"/>
    <col width="20" customWidth="1" min="9" max="9"/>
    <col width="18" customWidth="1" min="10" max="10"/>
    <col width="12" customWidth="1" min="11" max="11"/>
    <col width="26" customWidth="1" min="12" max="12"/>
    <col width="22" customWidth="1" min="13" max="13"/>
    <col width="16" customWidth="1" min="14" max="14"/>
    <col width="34" customWidth="1" min="15" max="15"/>
    <col width="24" customWidth="1" min="16" max="16"/>
    <col width="18" customWidth="1" min="17" max="17"/>
    <col width="12" customWidth="1" min="18" max="18"/>
    <col width="32" customWidth="1" min="19" max="19"/>
  </cols>
  <sheetData>
    <row r="1" ht="15" customHeight="1">
      <c r="A1" s="1" t="inlineStr">
        <is>
          <t>Record_ID</t>
        </is>
      </c>
      <c r="B1" s="1" t="inlineStr">
        <is>
          <t>Type</t>
        </is>
      </c>
      <c r="C1" s="1" t="inlineStr">
        <is>
          <t>Package_Trade</t>
        </is>
      </c>
      <c r="D1" s="1" t="inlineStr">
        <is>
          <t>Description</t>
        </is>
      </c>
      <c r="E1" s="1" t="inlineStr">
        <is>
          <t>Date_Raised_Submitted</t>
        </is>
      </c>
      <c r="F1" s="1" t="inlineStr">
        <is>
          <t>Response_Due_Date</t>
        </is>
      </c>
      <c r="G1" s="1" t="inlineStr">
        <is>
          <t>Response_Received_Date</t>
        </is>
      </c>
      <c r="H1" s="1" t="inlineStr">
        <is>
          <t>Days_Open_Overdue</t>
        </is>
      </c>
      <c r="I1" s="1" t="inlineStr">
        <is>
          <t>Status_Raw</t>
        </is>
      </c>
      <c r="J1" s="1" t="inlineStr">
        <is>
          <t>Status_Normalized</t>
        </is>
      </c>
      <c r="K1" s="1" t="inlineStr">
        <is>
          <t>Revision</t>
        </is>
      </c>
      <c r="L1" s="1" t="inlineStr">
        <is>
          <t>Linked_Area_Activity</t>
        </is>
      </c>
      <c r="M1" s="1" t="inlineStr">
        <is>
          <t>Linked_Milestone</t>
        </is>
      </c>
      <c r="N1" s="1" t="inlineStr">
        <is>
          <t>Programme_Impact_Days</t>
        </is>
      </c>
      <c r="O1" s="1" t="inlineStr">
        <is>
          <t>Commercial_Impact</t>
        </is>
      </c>
      <c r="P1" s="1" t="inlineStr">
        <is>
          <t>Responsible_Person</t>
        </is>
      </c>
      <c r="Q1" s="1" t="inlineStr">
        <is>
          <t>Escalation_Required</t>
        </is>
      </c>
      <c r="R1" s="1" t="inlineStr">
        <is>
          <t>RAG_Status</t>
        </is>
      </c>
      <c r="S1" s="1" t="inlineStr">
        <is>
          <t>Data_Quality_Note</t>
        </is>
      </c>
    </row>
    <row r="2" ht="15" customHeight="1">
      <c r="A2" s="2" t="inlineStr">
        <is>
          <t>SUB-081</t>
        </is>
      </c>
      <c r="B2" s="2" t="inlineStr">
        <is>
          <t>Shop Drawing</t>
        </is>
      </c>
      <c r="C2" s="2" t="inlineStr">
        <is>
          <t>Electrical</t>
        </is>
      </c>
      <c r="D2" s="2" t="inlineStr">
        <is>
          <t>Cable tray layout L10-L12</t>
        </is>
      </c>
      <c r="E2" s="3" t="n">
        <v>46101</v>
      </c>
      <c r="F2" s="3" t="n">
        <v>46117</v>
      </c>
      <c r="G2" s="3" t="n">
        <v>46115</v>
      </c>
      <c r="H2" s="2" t="n">
        <v>-2</v>
      </c>
      <c r="I2" s="2" t="inlineStr">
        <is>
          <t>Approved</t>
        </is>
      </c>
      <c r="J2" s="2" t="inlineStr">
        <is>
          <t>Approved</t>
        </is>
      </c>
      <c r="K2" s="2" t="inlineStr">
        <is>
          <t>Rev C</t>
        </is>
      </c>
      <c r="L2" s="2" t="inlineStr">
        <is>
          <t>PRG-001</t>
        </is>
      </c>
      <c r="M2" s="2" t="inlineStr">
        <is>
          <t>M-003</t>
        </is>
      </c>
      <c r="N2" s="2" t="n">
        <v>0</v>
      </c>
      <c r="O2" s="2" t="inlineStr">
        <is>
          <t>None</t>
        </is>
      </c>
      <c r="P2" s="2" t="inlineStr">
        <is>
          <t>Technical Manager</t>
        </is>
      </c>
      <c r="Q2" s="2" t="inlineStr">
        <is>
          <t>No</t>
        </is>
      </c>
      <c r="R2" s="2" t="inlineStr">
        <is>
          <t>Green</t>
        </is>
      </c>
      <c r="S2" s="2" t="n"/>
    </row>
    <row r="3" ht="15" customHeight="1">
      <c r="A3" s="2" t="inlineStr">
        <is>
          <t>SUB-082</t>
        </is>
      </c>
      <c r="B3" s="2" t="inlineStr">
        <is>
          <t>Material Submission</t>
        </is>
      </c>
      <c r="C3" s="2" t="inlineStr">
        <is>
          <t>Fire Services</t>
        </is>
      </c>
      <c r="D3" s="2" t="inlineStr">
        <is>
          <t>Sprinkler head sample</t>
        </is>
      </c>
      <c r="E3" s="3" t="n">
        <v>46106</v>
      </c>
      <c r="F3" s="3" t="n">
        <v>46122</v>
      </c>
      <c r="G3" s="3" t="n">
        <v>46124</v>
      </c>
      <c r="H3" s="2" t="n">
        <v>2</v>
      </c>
      <c r="I3" s="2" t="inlineStr">
        <is>
          <t>approved</t>
        </is>
      </c>
      <c r="J3" s="2" t="inlineStr">
        <is>
          <t>Approved</t>
        </is>
      </c>
      <c r="K3" s="2" t="inlineStr">
        <is>
          <t>Rev B</t>
        </is>
      </c>
      <c r="L3" s="2" t="inlineStr">
        <is>
          <t>PRG-004</t>
        </is>
      </c>
      <c r="M3" s="2" t="inlineStr">
        <is>
          <t>M-004</t>
        </is>
      </c>
      <c r="N3" s="2" t="n">
        <v>2</v>
      </c>
      <c r="O3" s="2" t="inlineStr">
        <is>
          <t>Low</t>
        </is>
      </c>
      <c r="P3" s="2" t="inlineStr">
        <is>
          <t>Design Coordinator</t>
        </is>
      </c>
      <c r="Q3" s="2" t="inlineStr">
        <is>
          <t>No</t>
        </is>
      </c>
      <c r="R3" s="2" t="inlineStr">
        <is>
          <t>Yellow</t>
        </is>
      </c>
      <c r="S3" s="2" t="inlineStr">
        <is>
          <t>Status lower-case intentionally</t>
        </is>
      </c>
    </row>
    <row r="4" ht="15" customHeight="1">
      <c r="A4" s="2" t="inlineStr">
        <is>
          <t>SUB-088</t>
        </is>
      </c>
      <c r="B4" s="2" t="inlineStr">
        <is>
          <t>Shop Drawing</t>
        </is>
      </c>
      <c r="C4" s="2" t="inlineStr">
        <is>
          <t>MVAC</t>
        </is>
      </c>
      <c r="D4" s="2" t="inlineStr">
        <is>
          <t>AHU plant room layout</t>
        </is>
      </c>
      <c r="E4" s="3" t="n">
        <v>46117</v>
      </c>
      <c r="F4" s="3" t="n">
        <v>46134</v>
      </c>
      <c r="G4" s="3" t="n"/>
      <c r="H4" s="2" t="n">
        <v>8</v>
      </c>
      <c r="I4" s="2" t="inlineStr">
        <is>
          <t>Pending approval</t>
        </is>
      </c>
      <c r="J4" s="2" t="inlineStr">
        <is>
          <t>Pending</t>
        </is>
      </c>
      <c r="K4" s="2" t="inlineStr">
        <is>
          <t>Rev B</t>
        </is>
      </c>
      <c r="L4" s="2" t="inlineStr">
        <is>
          <t>PRG-005</t>
        </is>
      </c>
      <c r="M4" s="2" t="inlineStr">
        <is>
          <t>M-012</t>
        </is>
      </c>
      <c r="N4" s="2" t="n">
        <v>5</v>
      </c>
      <c r="O4" s="2" t="inlineStr">
        <is>
          <t>Potential VO if plant layout changed</t>
        </is>
      </c>
      <c r="P4" s="2" t="inlineStr">
        <is>
          <t>Technical Manager</t>
        </is>
      </c>
      <c r="Q4" s="2" t="inlineStr">
        <is>
          <t>Yes</t>
        </is>
      </c>
      <c r="R4" s="2" t="inlineStr">
        <is>
          <t>Yellow</t>
        </is>
      </c>
      <c r="S4" s="2" t="n"/>
    </row>
    <row r="5" ht="15" customHeight="1">
      <c r="A5" s="2" t="inlineStr">
        <is>
          <t>RFI-034</t>
        </is>
      </c>
      <c r="B5" s="2" t="inlineStr">
        <is>
          <t>RFI</t>
        </is>
      </c>
      <c r="C5" s="2" t="inlineStr">
        <is>
          <t>MVAC</t>
        </is>
      </c>
      <c r="D5" s="2" t="inlineStr">
        <is>
          <t>Clash between duct route and structural beam</t>
        </is>
      </c>
      <c r="E5" s="3" t="n">
        <v>46122</v>
      </c>
      <c r="F5" s="3" t="n">
        <v>46136</v>
      </c>
      <c r="G5" s="3" t="n"/>
      <c r="H5" s="2" t="n">
        <v>6</v>
      </c>
      <c r="I5" s="2" t="inlineStr">
        <is>
          <t>OPEN</t>
        </is>
      </c>
      <c r="J5" s="2" t="inlineStr">
        <is>
          <t>Open</t>
        </is>
      </c>
      <c r="K5" s="2" t="inlineStr">
        <is>
          <t>N/A</t>
        </is>
      </c>
      <c r="L5" s="2" t="inlineStr">
        <is>
          <t>PRG-003 / PRG-012</t>
        </is>
      </c>
      <c r="M5" s="2" t="inlineStr">
        <is>
          <t>M-006 / M-013</t>
        </is>
      </c>
      <c r="N5" s="2" t="n">
        <v>10</v>
      </c>
      <c r="O5" s="2" t="inlineStr">
        <is>
          <t>Potential VO / EOT support</t>
        </is>
      </c>
      <c r="P5" s="2" t="inlineStr">
        <is>
          <t>PM / Engineer</t>
        </is>
      </c>
      <c r="Q5" s="2" t="inlineStr">
        <is>
          <t>Yes</t>
        </is>
      </c>
      <c r="R5" s="2" t="inlineStr">
        <is>
          <t>Red</t>
        </is>
      </c>
      <c r="S5" s="2" t="inlineStr">
        <is>
          <t>Critical teaching example</t>
        </is>
      </c>
    </row>
    <row r="6" ht="15" customHeight="1">
      <c r="A6" s="2" t="inlineStr">
        <is>
          <t>RFI-035</t>
        </is>
      </c>
      <c r="B6" s="2" t="inlineStr">
        <is>
          <t>RFI</t>
        </is>
      </c>
      <c r="C6" s="2" t="inlineStr">
        <is>
          <t>Electrical</t>
        </is>
      </c>
      <c r="D6" s="2" t="inlineStr">
        <is>
          <t>DB room access handover clarification</t>
        </is>
      </c>
      <c r="E6" s="3" t="n">
        <v>46124</v>
      </c>
      <c r="F6" s="3" t="n">
        <v>46138</v>
      </c>
      <c r="G6" s="3" t="n">
        <v>46141</v>
      </c>
      <c r="H6" s="2" t="n">
        <v>3</v>
      </c>
      <c r="I6" s="2" t="inlineStr">
        <is>
          <t>Answered</t>
        </is>
      </c>
      <c r="J6" s="2" t="inlineStr">
        <is>
          <t>Answered</t>
        </is>
      </c>
      <c r="K6" s="2" t="inlineStr">
        <is>
          <t>N/A</t>
        </is>
      </c>
      <c r="L6" s="2" t="inlineStr">
        <is>
          <t>PRG-011</t>
        </is>
      </c>
      <c r="M6" s="2" t="inlineStr">
        <is>
          <t>M-014</t>
        </is>
      </c>
      <c r="N6" s="2" t="n">
        <v>2</v>
      </c>
      <c r="O6" s="2" t="inlineStr">
        <is>
          <t>None</t>
        </is>
      </c>
      <c r="P6" s="2" t="inlineStr">
        <is>
          <t>Project Engineer</t>
        </is>
      </c>
      <c r="Q6" s="2" t="inlineStr">
        <is>
          <t>No</t>
        </is>
      </c>
      <c r="R6" s="2" t="inlineStr">
        <is>
          <t>Yellow</t>
        </is>
      </c>
      <c r="S6" s="2" t="n"/>
    </row>
    <row r="7" ht="15" customHeight="1">
      <c r="A7" s="2" t="inlineStr">
        <is>
          <t>SUB-089</t>
        </is>
      </c>
      <c r="B7" s="2" t="inlineStr">
        <is>
          <t>Method Statement</t>
        </is>
      </c>
      <c r="C7" s="2" t="inlineStr">
        <is>
          <t>General</t>
        </is>
      </c>
      <c r="D7" s="2" t="inlineStr">
        <is>
          <t>Night / weekend recovery work method</t>
        </is>
      </c>
      <c r="E7" s="3" t="n">
        <v>46130</v>
      </c>
      <c r="F7" s="3" t="n">
        <v>46144</v>
      </c>
      <c r="G7" s="3" t="n"/>
      <c r="H7" s="2" t="n">
        <v>-2</v>
      </c>
      <c r="I7" s="2" t="inlineStr">
        <is>
          <t>PENDING</t>
        </is>
      </c>
      <c r="J7" s="2" t="inlineStr">
        <is>
          <t>Pending</t>
        </is>
      </c>
      <c r="K7" s="2" t="inlineStr">
        <is>
          <t>Rev A</t>
        </is>
      </c>
      <c r="L7" s="2" t="inlineStr">
        <is>
          <t>PRG-012</t>
        </is>
      </c>
      <c r="M7" s="2" t="inlineStr">
        <is>
          <t>M-013</t>
        </is>
      </c>
      <c r="N7" s="2" t="n">
        <v>7</v>
      </c>
      <c r="O7" s="2" t="inlineStr">
        <is>
          <t>Potential acceleration cost</t>
        </is>
      </c>
      <c r="P7" s="2" t="inlineStr">
        <is>
          <t>PM</t>
        </is>
      </c>
      <c r="Q7" s="2" t="inlineStr">
        <is>
          <t>Yes</t>
        </is>
      </c>
      <c r="R7" s="2" t="inlineStr">
        <is>
          <t>Yellow</t>
        </is>
      </c>
      <c r="S7" s="2" t="inlineStr">
        <is>
          <t>Status upper-case intentionally</t>
        </is>
      </c>
    </row>
    <row r="8" ht="15" customHeight="1">
      <c r="A8" s="2" t="inlineStr">
        <is>
          <t>RFI-039</t>
        </is>
      </c>
      <c r="B8" s="2" t="inlineStr">
        <is>
          <t>RFI</t>
        </is>
      </c>
      <c r="C8" s="2" t="inlineStr">
        <is>
          <t>Fit-out Interface</t>
        </is>
      </c>
      <c r="D8" s="2" t="inlineStr">
        <is>
          <t>Ceiling closure sequence for G/F retail area</t>
        </is>
      </c>
      <c r="E8" s="3" t="n">
        <v>46132</v>
      </c>
      <c r="F8" s="3" t="n">
        <v>46140</v>
      </c>
      <c r="G8" s="3" t="n"/>
      <c r="H8" s="2" t="n">
        <v>2</v>
      </c>
      <c r="I8" s="2" t="inlineStr">
        <is>
          <t>open</t>
        </is>
      </c>
      <c r="J8" s="2" t="inlineStr">
        <is>
          <t>Open</t>
        </is>
      </c>
      <c r="K8" s="2" t="inlineStr">
        <is>
          <t>N/A</t>
        </is>
      </c>
      <c r="L8" s="2" t="inlineStr">
        <is>
          <t>PRG-009</t>
        </is>
      </c>
      <c r="M8" s="2" t="inlineStr">
        <is>
          <t>M-013</t>
        </is>
      </c>
      <c r="N8" s="2" t="n">
        <v>5</v>
      </c>
      <c r="O8" s="2" t="inlineStr">
        <is>
          <t>Possible prolongation risk</t>
        </is>
      </c>
      <c r="P8" s="2" t="inlineStr">
        <is>
          <t>Fit-out Coordinator</t>
        </is>
      </c>
      <c r="Q8" s="2" t="inlineStr">
        <is>
          <t>No</t>
        </is>
      </c>
      <c r="R8" s="2" t="inlineStr">
        <is>
          <t>Yellow</t>
        </is>
      </c>
      <c r="S8" s="2" t="inlineStr">
        <is>
          <t>Status lower-case intentionally</t>
        </is>
      </c>
    </row>
    <row r="9" ht="15" customHeight="1">
      <c r="A9" s="2" t="inlineStr">
        <is>
          <t>SUB-091</t>
        </is>
      </c>
      <c r="B9" s="2" t="inlineStr">
        <is>
          <t>Material Submission</t>
        </is>
      </c>
      <c r="C9" s="2" t="inlineStr">
        <is>
          <t>MVAC</t>
        </is>
      </c>
      <c r="D9" s="2" t="inlineStr">
        <is>
          <t>AHU delivery documents</t>
        </is>
      </c>
      <c r="E9" s="3" t="n">
        <v>46133</v>
      </c>
      <c r="F9" s="3" t="n">
        <v>46147</v>
      </c>
      <c r="G9" s="3" t="n"/>
      <c r="H9" s="2" t="n">
        <v>-5</v>
      </c>
      <c r="I9" s="2" t="inlineStr">
        <is>
          <t>Not Yet Submitted</t>
        </is>
      </c>
      <c r="J9" s="2" t="inlineStr">
        <is>
          <t>Not Yet Submitted</t>
        </is>
      </c>
      <c r="K9" s="2" t="inlineStr">
        <is>
          <t>Rev 0</t>
        </is>
      </c>
      <c r="L9" s="2" t="inlineStr">
        <is>
          <t>PRG-005</t>
        </is>
      </c>
      <c r="M9" s="2" t="inlineStr">
        <is>
          <t>M-012</t>
        </is>
      </c>
      <c r="N9" s="2" t="n">
        <v>9</v>
      </c>
      <c r="O9" s="2" t="inlineStr">
        <is>
          <t>Long-lead item risk</t>
        </is>
      </c>
      <c r="P9" s="2" t="inlineStr">
        <is>
          <t>Procurement Manager</t>
        </is>
      </c>
      <c r="Q9" s="2" t="inlineStr">
        <is>
          <t>Yes</t>
        </is>
      </c>
      <c r="R9" s="2" t="inlineStr">
        <is>
          <t>Yellow</t>
        </is>
      </c>
      <c r="S9" s="2" t="inlineStr">
        <is>
          <t>Submission not yet issued</t>
        </is>
      </c>
    </row>
    <row r="10" ht="15" customHeight="1">
      <c r="A10" s="2" t="inlineStr">
        <is>
          <t>SUB-092</t>
        </is>
      </c>
      <c r="B10" s="2" t="inlineStr">
        <is>
          <t>Shop Drawing</t>
        </is>
      </c>
      <c r="C10" s="2" t="inlineStr">
        <is>
          <t>Plumbing</t>
        </is>
      </c>
      <c r="D10" s="2" t="inlineStr">
        <is>
          <t>B1 drainage as-built mark-up</t>
        </is>
      </c>
      <c r="E10" s="3" t="n">
        <v>46134</v>
      </c>
      <c r="F10" s="3" t="n">
        <v>46148</v>
      </c>
      <c r="G10" s="3" t="n"/>
      <c r="H10" s="2" t="n">
        <v>-6</v>
      </c>
      <c r="I10" s="2" t="inlineStr">
        <is>
          <t>Pending</t>
        </is>
      </c>
      <c r="J10" s="2" t="inlineStr">
        <is>
          <t>Pending</t>
        </is>
      </c>
      <c r="K10" s="2" t="inlineStr">
        <is>
          <t>Rev A</t>
        </is>
      </c>
      <c r="L10" s="2" t="inlineStr">
        <is>
          <t>PRG-008</t>
        </is>
      </c>
      <c r="M10" s="2" t="inlineStr">
        <is>
          <t>M-005</t>
        </is>
      </c>
      <c r="N10" s="2" t="n">
        <v>0</v>
      </c>
      <c r="O10" s="2" t="inlineStr">
        <is>
          <t>None</t>
        </is>
      </c>
      <c r="P10" s="2" t="inlineStr">
        <is>
          <t>Site Engineer</t>
        </is>
      </c>
      <c r="Q10" s="2" t="inlineStr">
        <is>
          <t>No</t>
        </is>
      </c>
      <c r="R10" s="2" t="inlineStr">
        <is>
          <t>Green</t>
        </is>
      </c>
      <c r="S10" s="2" t="n"/>
    </row>
    <row r="11" ht="15" customHeight="1">
      <c r="A11" s="2" t="inlineStr">
        <is>
          <t>RFI-041</t>
        </is>
      </c>
      <c r="B11" s="2" t="inlineStr">
        <is>
          <t>RFI</t>
        </is>
      </c>
      <c r="C11" s="2" t="inlineStr">
        <is>
          <t>Builder's Works</t>
        </is>
      </c>
      <c r="D11" s="2" t="inlineStr">
        <is>
          <t>Opening dimension confirmation</t>
        </is>
      </c>
      <c r="E11" s="3" t="n">
        <v>46137</v>
      </c>
      <c r="F11" s="3" t="n"/>
      <c r="G11" s="3" t="n"/>
      <c r="H11" s="2">
        <f>IF(F11="","",IF(G11="",DATE(2026,4,30)-F11,G11-F11))</f>
        <v/>
      </c>
      <c r="I11" s="2" t="inlineStr">
        <is>
          <t>Open</t>
        </is>
      </c>
      <c r="J11" s="2" t="inlineStr">
        <is>
          <t>Open</t>
        </is>
      </c>
      <c r="K11" s="2" t="inlineStr">
        <is>
          <t>N/A</t>
        </is>
      </c>
      <c r="L11" s="2" t="inlineStr">
        <is>
          <t>PRG-010</t>
        </is>
      </c>
      <c r="M11" s="2" t="inlineStr">
        <is>
          <t>M-007</t>
        </is>
      </c>
      <c r="N11" s="2" t="n">
        <v>0</v>
      </c>
      <c r="O11" s="2" t="inlineStr">
        <is>
          <t>None</t>
        </is>
      </c>
      <c r="P11" s="2" t="inlineStr">
        <is>
          <t>Site Engineer</t>
        </is>
      </c>
      <c r="Q11" s="2" t="inlineStr">
        <is>
          <t>Yes</t>
        </is>
      </c>
      <c r="R11" s="2" t="inlineStr">
        <is>
          <t>Data Gap</t>
        </is>
      </c>
      <c r="S11" s="2" t="inlineStr">
        <is>
          <t>Missing response due date</t>
        </is>
      </c>
    </row>
  </sheetData>
  <dataValidations count="1">
    <dataValidation sqref="R2:R11" showDropDown="0" showInputMessage="0" showErrorMessage="0" allowBlank="0" type="list">
      <formula1>"Green,Amber,Red,Data Gap"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4.25"/>
  <cols>
    <col width="12" customWidth="1" min="1" max="1"/>
    <col width="34" customWidth="1" min="2" max="2"/>
    <col width="18" customWidth="1" min="3" max="4"/>
    <col width="20" customWidth="1" min="5" max="5"/>
    <col width="16" customWidth="1" min="6" max="6"/>
    <col width="18" customWidth="1" min="7" max="7"/>
    <col width="20" customWidth="1" min="8" max="8"/>
    <col width="14" customWidth="1" min="9" max="9"/>
    <col width="16" customWidth="1" min="10" max="10"/>
    <col width="12" customWidth="1" min="11" max="11"/>
    <col width="36" customWidth="1" min="12" max="12"/>
    <col width="24" customWidth="1" min="13" max="13"/>
    <col width="30" customWidth="1" min="14" max="14"/>
  </cols>
  <sheetData>
    <row r="1" ht="15" customHeight="1">
      <c r="A1" s="1" t="inlineStr">
        <is>
          <t>Item_ID</t>
        </is>
      </c>
      <c r="B1" s="1" t="inlineStr">
        <is>
          <t>Item_Description</t>
        </is>
      </c>
      <c r="C1" s="1" t="inlineStr">
        <is>
          <t>Package</t>
        </is>
      </c>
      <c r="D1" s="1" t="inlineStr">
        <is>
          <t>Required_Onsite_Date</t>
        </is>
      </c>
      <c r="E1" s="1" t="inlineStr">
        <is>
          <t>Approval_Status</t>
        </is>
      </c>
      <c r="F1" s="1" t="inlineStr">
        <is>
          <t>PO_Status</t>
        </is>
      </c>
      <c r="G1" s="1" t="inlineStr">
        <is>
          <t>Supplier</t>
        </is>
      </c>
      <c r="H1" s="1" t="inlineStr">
        <is>
          <t>Forecast_Delivery_Date</t>
        </is>
      </c>
      <c r="I1" s="1" t="inlineStr">
        <is>
          <t>Variance_Days</t>
        </is>
      </c>
      <c r="J1" s="1" t="inlineStr">
        <is>
          <t>Linked_Milestone</t>
        </is>
      </c>
      <c r="K1" s="1" t="inlineStr">
        <is>
          <t>Risk_Status</t>
        </is>
      </c>
      <c r="L1" s="1" t="inlineStr">
        <is>
          <t>Action</t>
        </is>
      </c>
      <c r="M1" s="1" t="inlineStr">
        <is>
          <t>Owner</t>
        </is>
      </c>
      <c r="N1" s="1" t="inlineStr">
        <is>
          <t>Data_Quality_Note</t>
        </is>
      </c>
    </row>
    <row r="2" ht="15" customHeight="1">
      <c r="A2" s="2" t="inlineStr">
        <is>
          <t>MAT-001</t>
        </is>
      </c>
      <c r="B2" s="2" t="inlineStr">
        <is>
          <t>Cable trays L10-L15</t>
        </is>
      </c>
      <c r="C2" s="2" t="inlineStr">
        <is>
          <t>Electrical</t>
        </is>
      </c>
      <c r="D2" s="3" t="n">
        <v>46137</v>
      </c>
      <c r="E2" s="2" t="inlineStr">
        <is>
          <t>Approved</t>
        </is>
      </c>
      <c r="F2" s="2" t="inlineStr">
        <is>
          <t>Issued</t>
        </is>
      </c>
      <c r="G2" s="2" t="inlineStr">
        <is>
          <t>Cheong Lik Metalworks Ltd</t>
        </is>
      </c>
      <c r="H2" s="3" t="n">
        <v>46134</v>
      </c>
      <c r="I2" s="2" t="n">
        <v>-3</v>
      </c>
      <c r="J2" s="2" t="inlineStr">
        <is>
          <t>M-003</t>
        </is>
      </c>
      <c r="K2" s="2" t="inlineStr">
        <is>
          <t>Green</t>
        </is>
      </c>
      <c r="L2" s="2" t="inlineStr">
        <is>
          <t>Delivered; monitor installation</t>
        </is>
      </c>
      <c r="M2" s="2" t="inlineStr">
        <is>
          <t>Procurement Manager</t>
        </is>
      </c>
      <c r="N2" s="2" t="n"/>
    </row>
    <row r="3" ht="15" customHeight="1">
      <c r="A3" s="2" t="inlineStr">
        <is>
          <t>MAT-008</t>
        </is>
      </c>
      <c r="B3" s="2" t="inlineStr">
        <is>
          <t>Sprinkler pipe materials</t>
        </is>
      </c>
      <c r="C3" s="2" t="inlineStr">
        <is>
          <t>Fire Services</t>
        </is>
      </c>
      <c r="D3" s="3" t="n">
        <v>46143</v>
      </c>
      <c r="E3" s="2" t="inlineStr">
        <is>
          <t>Approved</t>
        </is>
      </c>
      <c r="F3" s="2" t="inlineStr">
        <is>
          <t>Issued</t>
        </is>
      </c>
      <c r="G3" s="2" t="inlineStr">
        <is>
          <t>Firecrest FS Supplies Ltd</t>
        </is>
      </c>
      <c r="H3" s="3" t="n">
        <v>46144</v>
      </c>
      <c r="I3" s="2" t="n">
        <v>1</v>
      </c>
      <c r="J3" s="2" t="inlineStr">
        <is>
          <t>M-004</t>
        </is>
      </c>
      <c r="K3" s="2" t="inlineStr">
        <is>
          <t>Yellow</t>
        </is>
      </c>
      <c r="L3" s="2" t="inlineStr">
        <is>
          <t>Confirm delivery slot</t>
        </is>
      </c>
      <c r="M3" s="2" t="inlineStr">
        <is>
          <t>Procurement Manager</t>
        </is>
      </c>
      <c r="N3" s="2" t="n"/>
    </row>
    <row r="4" ht="15" customHeight="1">
      <c r="A4" s="2" t="inlineStr">
        <is>
          <t>MAT-011</t>
        </is>
      </c>
      <c r="B4" s="2" t="inlineStr">
        <is>
          <t>ELV trunking</t>
        </is>
      </c>
      <c r="C4" s="2" t="inlineStr">
        <is>
          <t>ELV</t>
        </is>
      </c>
      <c r="D4" s="3" t="n">
        <v>46132</v>
      </c>
      <c r="E4" s="2" t="inlineStr">
        <is>
          <t>Approved</t>
        </is>
      </c>
      <c r="F4" s="2" t="inlineStr">
        <is>
          <t>Issued</t>
        </is>
      </c>
      <c r="G4" s="2" t="inlineStr">
        <is>
          <t>Trunkline ELV Systems Ltd</t>
        </is>
      </c>
      <c r="H4" s="3" t="n">
        <v>46130</v>
      </c>
      <c r="I4" s="2" t="n">
        <v>-2</v>
      </c>
      <c r="J4" s="2" t="inlineStr">
        <is>
          <t>M-002</t>
        </is>
      </c>
      <c r="K4" s="2" t="inlineStr">
        <is>
          <t>Green</t>
        </is>
      </c>
      <c r="L4" s="2" t="inlineStr">
        <is>
          <t>Delivered</t>
        </is>
      </c>
      <c r="M4" s="2" t="inlineStr">
        <is>
          <t>ELV Engineer</t>
        </is>
      </c>
      <c r="N4" s="2" t="n"/>
    </row>
    <row r="5" ht="15" customHeight="1">
      <c r="A5" s="2" t="inlineStr">
        <is>
          <t>MAT-021</t>
        </is>
      </c>
      <c r="B5" s="2" t="inlineStr">
        <is>
          <t>AHU Unit</t>
        </is>
      </c>
      <c r="C5" s="2" t="inlineStr">
        <is>
          <t>MVAC</t>
        </is>
      </c>
      <c r="D5" s="3" t="n">
        <v>46174</v>
      </c>
      <c r="E5" s="2" t="inlineStr">
        <is>
          <t>Approved</t>
        </is>
      </c>
      <c r="F5" s="2" t="inlineStr">
        <is>
          <t>Issued</t>
        </is>
      </c>
      <c r="G5" s="2" t="inlineStr">
        <is>
          <t>Coolrise Air Systems (HK) Ltd</t>
        </is>
      </c>
      <c r="H5" s="3" t="n">
        <v>46183</v>
      </c>
      <c r="I5" s="2" t="n">
        <v>9</v>
      </c>
      <c r="J5" s="2" t="inlineStr">
        <is>
          <t>M-012</t>
        </is>
      </c>
      <c r="K5" s="2" t="inlineStr">
        <is>
          <t>Yellow</t>
        </is>
      </c>
      <c r="L5" s="2" t="inlineStr">
        <is>
          <t>Supplier recovery meeting</t>
        </is>
      </c>
      <c r="M5" s="2" t="inlineStr">
        <is>
          <t>Procurement Manager</t>
        </is>
      </c>
      <c r="N5" s="2" t="inlineStr">
        <is>
          <t>Critical long-lead item</t>
        </is>
      </c>
    </row>
    <row r="6" ht="15" customHeight="1">
      <c r="A6" s="2" t="inlineStr">
        <is>
          <t>MAT-024</t>
        </is>
      </c>
      <c r="B6" s="2" t="inlineStr">
        <is>
          <t>Fire-rated access panels</t>
        </is>
      </c>
      <c r="C6" s="2" t="inlineStr">
        <is>
          <t>Fit-out Interface</t>
        </is>
      </c>
      <c r="D6" s="3" t="n">
        <v>46162</v>
      </c>
      <c r="E6" s="2" t="inlineStr">
        <is>
          <t>Pending Approval</t>
        </is>
      </c>
      <c r="F6" s="2" t="inlineStr">
        <is>
          <t>Not Issued</t>
        </is>
      </c>
      <c r="G6" s="2" t="inlineStr">
        <is>
          <t>Panelform Building Products Ltd</t>
        </is>
      </c>
      <c r="H6" s="3" t="n">
        <v>46172</v>
      </c>
      <c r="I6" s="2" t="n">
        <v>10</v>
      </c>
      <c r="J6" s="2" t="inlineStr">
        <is>
          <t>M-013</t>
        </is>
      </c>
      <c r="K6" s="2" t="inlineStr">
        <is>
          <t>Red</t>
        </is>
      </c>
      <c r="L6" s="2" t="inlineStr">
        <is>
          <t>Expedite approval and PO</t>
        </is>
      </c>
      <c r="M6" s="2" t="inlineStr">
        <is>
          <t>Technical Manager</t>
        </is>
      </c>
      <c r="N6" s="2" t="inlineStr">
        <is>
          <t>Approval and PO not completed</t>
        </is>
      </c>
    </row>
    <row r="7" ht="15" customHeight="1">
      <c r="A7" s="2" t="inlineStr">
        <is>
          <t>MAT-026</t>
        </is>
      </c>
      <c r="B7" s="2" t="inlineStr">
        <is>
          <t>DB room accessories</t>
        </is>
      </c>
      <c r="C7" s="2" t="inlineStr">
        <is>
          <t>Electrical</t>
        </is>
      </c>
      <c r="D7" s="3" t="n">
        <v>46170</v>
      </c>
      <c r="E7" s="2" t="inlineStr">
        <is>
          <t>Approved</t>
        </is>
      </c>
      <c r="F7" s="2" t="inlineStr">
        <is>
          <t>Issued</t>
        </is>
      </c>
      <c r="G7" s="2" t="inlineStr">
        <is>
          <t>Voltcrest Electrical Supplies Ltd</t>
        </is>
      </c>
      <c r="H7" s="3" t="n"/>
      <c r="I7" s="2">
        <f>IF(H7="","",H7-D7)</f>
        <v/>
      </c>
      <c r="J7" s="2" t="inlineStr">
        <is>
          <t>M-014</t>
        </is>
      </c>
      <c r="K7" s="2" t="inlineStr">
        <is>
          <t>Data Gap</t>
        </is>
      </c>
      <c r="L7" s="2" t="inlineStr">
        <is>
          <t>Request forecast delivery date</t>
        </is>
      </c>
      <c r="M7" s="2" t="inlineStr">
        <is>
          <t>Procurement Manager</t>
        </is>
      </c>
      <c r="N7" s="2" t="inlineStr">
        <is>
          <t>Missing Forecast Delivery Date</t>
        </is>
      </c>
    </row>
    <row r="8" ht="15" customHeight="1">
      <c r="A8" s="2" t="inlineStr">
        <is>
          <t>MAT-032</t>
        </is>
      </c>
      <c r="B8" s="2" t="inlineStr">
        <is>
          <t>Chilled water valves</t>
        </is>
      </c>
      <c r="C8" s="2" t="inlineStr">
        <is>
          <t>MVAC</t>
        </is>
      </c>
      <c r="D8" s="3" t="n">
        <v>46188</v>
      </c>
      <c r="E8" s="2" t="inlineStr">
        <is>
          <t>Approved</t>
        </is>
      </c>
      <c r="F8" s="2" t="inlineStr">
        <is>
          <t>Issued</t>
        </is>
      </c>
      <c r="G8" s="2" t="inlineStr">
        <is>
          <t>Hydroseal Valve &amp; Fittings Ltd</t>
        </is>
      </c>
      <c r="H8" s="3" t="n">
        <v>46191</v>
      </c>
      <c r="I8" s="2" t="n">
        <v>3</v>
      </c>
      <c r="J8" s="2" t="inlineStr">
        <is>
          <t>M-012</t>
        </is>
      </c>
      <c r="K8" s="2" t="inlineStr">
        <is>
          <t>Yellow</t>
        </is>
      </c>
      <c r="L8" s="2" t="inlineStr">
        <is>
          <t>Monitor factory schedule</t>
        </is>
      </c>
      <c r="M8" s="2" t="inlineStr">
        <is>
          <t>Procurement Manager</t>
        </is>
      </c>
      <c r="N8" s="2" t="n"/>
    </row>
    <row r="9" ht="15" customHeight="1">
      <c r="A9" s="2" t="inlineStr">
        <is>
          <t>MAT-040</t>
        </is>
      </c>
      <c r="B9" s="2" t="inlineStr">
        <is>
          <t>Drainage pipe supports</t>
        </is>
      </c>
      <c r="C9" s="2" t="inlineStr">
        <is>
          <t>Plumbing</t>
        </is>
      </c>
      <c r="D9" s="3" t="n">
        <v>46150</v>
      </c>
      <c r="E9" s="2" t="inlineStr">
        <is>
          <t>Approved</t>
        </is>
      </c>
      <c r="F9" s="2" t="inlineStr">
        <is>
          <t>Issued</t>
        </is>
      </c>
      <c r="G9" s="2" t="inlineStr">
        <is>
          <t>Steadfix Support Systems Ltd</t>
        </is>
      </c>
      <c r="H9" s="3" t="n">
        <v>46150</v>
      </c>
      <c r="I9" s="2" t="n">
        <v>0</v>
      </c>
      <c r="J9" s="2" t="inlineStr">
        <is>
          <t>M-005</t>
        </is>
      </c>
      <c r="K9" s="2" t="inlineStr">
        <is>
          <t>Green</t>
        </is>
      </c>
      <c r="L9" s="2" t="inlineStr">
        <is>
          <t>No action</t>
        </is>
      </c>
      <c r="M9" s="2" t="inlineStr">
        <is>
          <t>Site Engineer</t>
        </is>
      </c>
      <c r="N9" s="2" t="n"/>
    </row>
    <row r="10">
      <c r="A10" s="2" t="inlineStr">
        <is>
          <t>MAT-041</t>
        </is>
      </c>
      <c r="B10" s="2" t="inlineStr">
        <is>
          <t>Fire dampers Zone B risers</t>
        </is>
      </c>
      <c r="C10" s="2" t="inlineStr">
        <is>
          <t>MVAC</t>
        </is>
      </c>
      <c r="D10" s="3" t="n">
        <v>46167</v>
      </c>
      <c r="E10" s="2" t="inlineStr">
        <is>
          <t>Approved</t>
        </is>
      </c>
      <c r="F10" s="2" t="inlineStr">
        <is>
          <t>Issued</t>
        </is>
      </c>
      <c r="G10" s="2" t="inlineStr">
        <is>
          <t>Flowvent Air Products Ltd</t>
        </is>
      </c>
      <c r="H10" s="3" t="n">
        <v>46164</v>
      </c>
      <c r="I10" s="2" t="n">
        <v>-3</v>
      </c>
      <c r="J10" s="2" t="inlineStr">
        <is>
          <t>M-006</t>
        </is>
      </c>
      <c r="K10" s="2" t="inlineStr">
        <is>
          <t>Green</t>
        </is>
      </c>
      <c r="L10" s="2" t="inlineStr">
        <is>
          <t>Delivery on track; hold at site store</t>
        </is>
      </c>
      <c r="M10" s="2" t="inlineStr">
        <is>
          <t>Procurement Manager</t>
        </is>
      </c>
      <c r="N10" s="2" t="n"/>
    </row>
    <row r="11">
      <c r="A11" s="2" t="inlineStr">
        <is>
          <t>MAT-045</t>
        </is>
      </c>
      <c r="B11" s="2" t="inlineStr">
        <is>
          <t>LED luminaires L20-L23</t>
        </is>
      </c>
      <c r="C11" s="2" t="inlineStr">
        <is>
          <t>Electrical</t>
        </is>
      </c>
      <c r="D11" s="3" t="n">
        <v>46178</v>
      </c>
      <c r="E11" s="2" t="inlineStr">
        <is>
          <t>Approved</t>
        </is>
      </c>
      <c r="F11" s="2" t="inlineStr">
        <is>
          <t>Issued</t>
        </is>
      </c>
      <c r="G11" s="2" t="inlineStr">
        <is>
          <t>Brightform Lighting Ltd</t>
        </is>
      </c>
      <c r="H11" s="3" t="n">
        <v>46178</v>
      </c>
      <c r="I11" s="2" t="n">
        <v>0</v>
      </c>
      <c r="J11" s="2" t="inlineStr">
        <is>
          <t>M-009</t>
        </is>
      </c>
      <c r="K11" s="2" t="inlineStr">
        <is>
          <t>Green</t>
        </is>
      </c>
      <c r="L11" s="2" t="inlineStr">
        <is>
          <t>Confirm delivery booking with main contractor hoist</t>
        </is>
      </c>
      <c r="M11" s="2" t="inlineStr">
        <is>
          <t>Procurement Manager</t>
        </is>
      </c>
      <c r="N11" s="2" t="n"/>
    </row>
  </sheetData>
  <dataValidations count="2">
    <dataValidation sqref="K2:K9" showDropDown="0" showInputMessage="0" showErrorMessage="0" allowBlank="0" type="list">
      <formula1>"Green,Amber,Red,Data Gap"</formula1>
    </dataValidation>
    <dataValidation sqref="E2:F20" showDropDown="0" showInputMessage="0" showErrorMessage="0" allowBlank="0" type="list">
      <formula1>"Approved,Pending Approval,Issued,Not Issued"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4.25"/>
  <cols>
    <col width="12" customWidth="1" min="1" max="1"/>
    <col width="16" customWidth="1" min="2" max="2"/>
    <col width="28" customWidth="1" min="3" max="3"/>
    <col width="12" customWidth="1" min="4" max="6"/>
    <col width="16" customWidth="1" min="7" max="7"/>
    <col width="14" customWidth="1" min="8" max="8"/>
    <col width="18" customWidth="1" min="9" max="9"/>
    <col width="42" customWidth="1" min="10" max="11"/>
    <col width="22" customWidth="1" min="12" max="12"/>
    <col width="16" customWidth="1" min="13" max="13"/>
    <col width="14" customWidth="1" min="14" max="14"/>
    <col width="12" customWidth="1" min="15" max="15"/>
    <col width="16" customWidth="1" min="16" max="16"/>
    <col width="28" customWidth="1" min="17" max="17"/>
  </cols>
  <sheetData>
    <row r="1" ht="15" customHeight="1">
      <c r="A1" s="1" t="inlineStr">
        <is>
          <t>Record_ID</t>
        </is>
      </c>
      <c r="B1" s="1" t="inlineStr">
        <is>
          <t>Category</t>
        </is>
      </c>
      <c r="C1" s="1" t="inlineStr">
        <is>
          <t>Metric_or_Issue</t>
        </is>
      </c>
      <c r="D1" s="1" t="inlineStr">
        <is>
          <t>Count_Value</t>
        </is>
      </c>
      <c r="E1" s="1" t="inlineStr">
        <is>
          <t>Unit</t>
        </is>
      </c>
      <c r="F1" s="1" t="inlineStr">
        <is>
          <t>Target</t>
        </is>
      </c>
      <c r="G1" s="1" t="inlineStr">
        <is>
          <t>Actual_Result</t>
        </is>
      </c>
      <c r="H1" s="1" t="inlineStr">
        <is>
          <t>Status</t>
        </is>
      </c>
      <c r="I1" s="1" t="inlineStr">
        <is>
          <t>Area</t>
        </is>
      </c>
      <c r="J1" s="1" t="inlineStr">
        <is>
          <t>Description</t>
        </is>
      </c>
      <c r="K1" s="1" t="inlineStr">
        <is>
          <t>Action_Required</t>
        </is>
      </c>
      <c r="L1" s="1" t="inlineStr">
        <is>
          <t>Owner</t>
        </is>
      </c>
      <c r="M1" s="1" t="inlineStr">
        <is>
          <t>Due_Date</t>
        </is>
      </c>
      <c r="N1" s="1" t="inlineStr">
        <is>
          <t>Days_Overdue</t>
        </is>
      </c>
      <c r="O1" s="1" t="inlineStr">
        <is>
          <t>RAG_Status</t>
        </is>
      </c>
      <c r="P1" s="1" t="inlineStr">
        <is>
          <t>Evidence_Ref</t>
        </is>
      </c>
      <c r="Q1" s="1" t="inlineStr">
        <is>
          <t>Data_Quality_Note</t>
        </is>
      </c>
    </row>
    <row r="2" ht="15" customHeight="1">
      <c r="A2" s="2" t="inlineStr">
        <is>
          <t>SQ-001</t>
        </is>
      </c>
      <c r="B2" s="2" t="inlineStr">
        <is>
          <t>Safety</t>
        </is>
      </c>
      <c r="C2" s="2" t="inlineStr">
        <is>
          <t>Reportable accident</t>
        </is>
      </c>
      <c r="D2" s="2" t="n">
        <v>0</v>
      </c>
      <c r="E2" s="2" t="inlineStr">
        <is>
          <t>case</t>
        </is>
      </c>
      <c r="F2" s="2" t="n">
        <v>0</v>
      </c>
      <c r="G2" s="2" t="inlineStr">
        <is>
          <t>0 case</t>
        </is>
      </c>
      <c r="H2" s="2" t="inlineStr">
        <is>
          <t>Closed</t>
        </is>
      </c>
      <c r="I2" s="2" t="inlineStr">
        <is>
          <t>Project-wide</t>
        </is>
      </c>
      <c r="J2" s="2" t="inlineStr">
        <is>
          <t>No reportable accident in April</t>
        </is>
      </c>
      <c r="K2" s="2" t="inlineStr">
        <is>
          <t>Continue safety briefing</t>
        </is>
      </c>
      <c r="L2" s="2" t="inlineStr">
        <is>
          <t>Safety Officer</t>
        </is>
      </c>
      <c r="M2" s="3" t="n">
        <v>46142</v>
      </c>
      <c r="N2" s="2" t="n">
        <v>0</v>
      </c>
      <c r="O2" s="2" t="inlineStr">
        <is>
          <t>Green</t>
        </is>
      </c>
      <c r="P2" s="2" t="inlineStr">
        <is>
          <t>S-APR-001</t>
        </is>
      </c>
      <c r="Q2" s="2" t="n"/>
    </row>
    <row r="3" ht="15" customHeight="1">
      <c r="A3" s="2" t="inlineStr">
        <is>
          <t>SQ-002</t>
        </is>
      </c>
      <c r="B3" s="2" t="inlineStr">
        <is>
          <t>Safety</t>
        </is>
      </c>
      <c r="C3" s="2" t="inlineStr">
        <is>
          <t>Near miss</t>
        </is>
      </c>
      <c r="D3" s="2" t="n">
        <v>2</v>
      </c>
      <c r="E3" s="2" t="inlineStr">
        <is>
          <t>case</t>
        </is>
      </c>
      <c r="F3" s="2" t="n">
        <v>0</v>
      </c>
      <c r="G3" s="2" t="inlineStr">
        <is>
          <t>2 cases</t>
        </is>
      </c>
      <c r="H3" s="2" t="inlineStr">
        <is>
          <t>Open</t>
        </is>
      </c>
      <c r="I3" s="2" t="inlineStr">
        <is>
          <t>Tower A</t>
        </is>
      </c>
      <c r="J3" s="2" t="inlineStr">
        <is>
          <t>Two near-miss observations related to access and lifting zone</t>
        </is>
      </c>
      <c r="K3" s="2" t="inlineStr">
        <is>
          <t>Review lifting/access controls</t>
        </is>
      </c>
      <c r="L3" s="2" t="inlineStr">
        <is>
          <t>Safety Officer</t>
        </is>
      </c>
      <c r="M3" s="3" t="n">
        <v>46145</v>
      </c>
      <c r="N3" s="2" t="n">
        <v>-3</v>
      </c>
      <c r="O3" s="2" t="inlineStr">
        <is>
          <t>Yellow</t>
        </is>
      </c>
      <c r="P3" s="2" t="inlineStr">
        <is>
          <t>S-APR-014</t>
        </is>
      </c>
      <c r="Q3" s="2" t="n"/>
    </row>
    <row r="4" ht="15" customHeight="1">
      <c r="A4" s="2" t="inlineStr">
        <is>
          <t>SQ-003</t>
        </is>
      </c>
      <c r="B4" s="2" t="inlineStr">
        <is>
          <t>Safety</t>
        </is>
      </c>
      <c r="C4" s="2" t="inlineStr">
        <is>
          <t>Overdue safety actions</t>
        </is>
      </c>
      <c r="D4" s="2" t="n">
        <v>3</v>
      </c>
      <c r="E4" s="2" t="inlineStr">
        <is>
          <t>action</t>
        </is>
      </c>
      <c r="F4" s="2" t="n">
        <v>0</v>
      </c>
      <c r="G4" s="2" t="inlineStr">
        <is>
          <t>3 overdue</t>
        </is>
      </c>
      <c r="H4" s="2" t="inlineStr">
        <is>
          <t>Open</t>
        </is>
      </c>
      <c r="I4" s="2" t="inlineStr">
        <is>
          <t>Project-wide</t>
        </is>
      </c>
      <c r="J4" s="2" t="inlineStr">
        <is>
          <t>Three corrective actions remain overdue</t>
        </is>
      </c>
      <c r="K4" s="2" t="inlineStr">
        <is>
          <t>Close overdue actions before report finalization</t>
        </is>
      </c>
      <c r="L4" s="2" t="inlineStr">
        <is>
          <t>Safety Officer</t>
        </is>
      </c>
      <c r="M4" s="3" t="n">
        <v>46140</v>
      </c>
      <c r="N4" s="2" t="n">
        <v>2</v>
      </c>
      <c r="O4" s="2" t="inlineStr">
        <is>
          <t>Yellow</t>
        </is>
      </c>
      <c r="P4" s="2" t="inlineStr">
        <is>
          <t>S-APR-022</t>
        </is>
      </c>
      <c r="Q4" s="2" t="n"/>
    </row>
    <row r="5" ht="15" customHeight="1">
      <c r="A5" s="2" t="inlineStr">
        <is>
          <t>SQ-004</t>
        </is>
      </c>
      <c r="B5" s="2" t="inlineStr">
        <is>
          <t>Safety</t>
        </is>
      </c>
      <c r="C5" s="2" t="inlineStr">
        <is>
          <t>High-risk outstanding item</t>
        </is>
      </c>
      <c r="D5" s="2" t="n">
        <v>1</v>
      </c>
      <c r="E5" s="2" t="inlineStr">
        <is>
          <t>item</t>
        </is>
      </c>
      <c r="F5" s="2" t="n">
        <v>0</v>
      </c>
      <c r="G5" s="2" t="inlineStr">
        <is>
          <t>1 item</t>
        </is>
      </c>
      <c r="H5" s="2" t="inlineStr">
        <is>
          <t>Open</t>
        </is>
      </c>
      <c r="I5" s="2" t="inlineStr">
        <is>
          <t>Tower A L16</t>
        </is>
      </c>
      <c r="J5" s="2" t="inlineStr">
        <is>
          <t>Work-at-height edge protection observation remains open</t>
        </is>
      </c>
      <c r="K5" s="2" t="inlineStr">
        <is>
          <t>Immediate closure required</t>
        </is>
      </c>
      <c r="L5" s="2" t="inlineStr">
        <is>
          <t>Safety Officer</t>
        </is>
      </c>
      <c r="M5" s="3" t="n">
        <v>46139</v>
      </c>
      <c r="N5" s="2" t="n">
        <v>3</v>
      </c>
      <c r="O5" s="2" t="inlineStr">
        <is>
          <t>Red</t>
        </is>
      </c>
      <c r="P5" s="2" t="inlineStr">
        <is>
          <t>S-APR-027</t>
        </is>
      </c>
      <c r="Q5" s="2" t="n"/>
    </row>
    <row r="6" ht="15" customHeight="1">
      <c r="A6" s="2" t="inlineStr">
        <is>
          <t>SQ-005</t>
        </is>
      </c>
      <c r="B6" s="2" t="inlineStr">
        <is>
          <t>Quality</t>
        </is>
      </c>
      <c r="C6" s="2" t="inlineStr">
        <is>
          <t>Open NCR</t>
        </is>
      </c>
      <c r="D6" s="2" t="n">
        <v>1</v>
      </c>
      <c r="E6" s="2" t="inlineStr">
        <is>
          <t>case</t>
        </is>
      </c>
      <c r="F6" s="2" t="n">
        <v>0</v>
      </c>
      <c r="G6" s="2" t="inlineStr">
        <is>
          <t>1 open</t>
        </is>
      </c>
      <c r="H6" s="2" t="inlineStr">
        <is>
          <t>Open</t>
        </is>
      </c>
      <c r="I6" s="2" t="inlineStr">
        <is>
          <t>Tower A L12</t>
        </is>
      </c>
      <c r="J6" s="2" t="inlineStr">
        <is>
          <t>Cable tray support spacing not compliant</t>
        </is>
      </c>
      <c r="K6" s="2" t="inlineStr">
        <is>
          <t>Rectify and re-inspect</t>
        </is>
      </c>
      <c r="L6" s="2" t="inlineStr">
        <is>
          <t>QA/QC Manager</t>
        </is>
      </c>
      <c r="M6" s="3" t="n">
        <v>46138</v>
      </c>
      <c r="N6" s="2" t="n">
        <v>4</v>
      </c>
      <c r="O6" s="2" t="inlineStr">
        <is>
          <t>Yellow</t>
        </is>
      </c>
      <c r="P6" s="2" t="inlineStr">
        <is>
          <t>NCR-009</t>
        </is>
      </c>
      <c r="Q6" s="2" t="n"/>
    </row>
    <row r="7" ht="15" customHeight="1">
      <c r="A7" s="2" t="inlineStr">
        <is>
          <t>SQ-006</t>
        </is>
      </c>
      <c r="B7" s="2" t="inlineStr">
        <is>
          <t>Quality</t>
        </is>
      </c>
      <c r="C7" s="2" t="inlineStr">
        <is>
          <t>Inspection pass rate</t>
        </is>
      </c>
      <c r="D7" s="2" t="n">
        <v>0.88</v>
      </c>
      <c r="E7" s="2" t="inlineStr">
        <is>
          <t>rate</t>
        </is>
      </c>
      <c r="F7" s="2" t="n">
        <v>0.9</v>
      </c>
      <c r="G7" s="2" t="inlineStr">
        <is>
          <t>88%</t>
        </is>
      </c>
      <c r="H7" s="2" t="inlineStr">
        <is>
          <t>Open</t>
        </is>
      </c>
      <c r="I7" s="2" t="inlineStr">
        <is>
          <t>Project-wide</t>
        </is>
      </c>
      <c r="J7" s="2" t="inlineStr">
        <is>
          <t>Inspection pass rate below target by 2%</t>
        </is>
      </c>
      <c r="K7" s="2" t="inlineStr">
        <is>
          <t>Review repeated inspection failures</t>
        </is>
      </c>
      <c r="L7" s="2" t="inlineStr">
        <is>
          <t>QA/QC Manager</t>
        </is>
      </c>
      <c r="M7" s="3" t="n">
        <v>46149</v>
      </c>
      <c r="N7" s="2" t="n">
        <v>-7</v>
      </c>
      <c r="O7" s="2" t="inlineStr">
        <is>
          <t>Yellow</t>
        </is>
      </c>
      <c r="P7" s="2" t="inlineStr">
        <is>
          <t>QC-APR-002</t>
        </is>
      </c>
      <c r="Q7" s="2" t="n"/>
    </row>
    <row r="8" ht="15" customHeight="1">
      <c r="A8" s="2" t="inlineStr">
        <is>
          <t>SQ-007</t>
        </is>
      </c>
      <c r="B8" s="2" t="inlineStr">
        <is>
          <t>Environmental</t>
        </is>
      </c>
      <c r="C8" s="2" t="inlineStr">
        <is>
          <t>Complaint</t>
        </is>
      </c>
      <c r="D8" s="2" t="n">
        <v>0</v>
      </c>
      <c r="E8" s="2" t="inlineStr">
        <is>
          <t>case</t>
        </is>
      </c>
      <c r="F8" s="2" t="n">
        <v>0</v>
      </c>
      <c r="G8" s="2" t="inlineStr">
        <is>
          <t>0 case</t>
        </is>
      </c>
      <c r="H8" s="2" t="inlineStr">
        <is>
          <t>Closed</t>
        </is>
      </c>
      <c r="I8" s="2" t="inlineStr">
        <is>
          <t>Project-wide</t>
        </is>
      </c>
      <c r="J8" s="2" t="inlineStr">
        <is>
          <t>No environmental complaint</t>
        </is>
      </c>
      <c r="K8" s="2" t="inlineStr">
        <is>
          <t>Maintain monitoring</t>
        </is>
      </c>
      <c r="L8" s="2" t="inlineStr">
        <is>
          <t>Environmental Officer</t>
        </is>
      </c>
      <c r="M8" s="3" t="n">
        <v>46142</v>
      </c>
      <c r="N8" s="2" t="n">
        <v>0</v>
      </c>
      <c r="O8" s="2" t="inlineStr">
        <is>
          <t>Green</t>
        </is>
      </c>
      <c r="P8" s="2" t="inlineStr">
        <is>
          <t>ENV-APR-001</t>
        </is>
      </c>
      <c r="Q8" s="2" t="n"/>
    </row>
    <row r="9" ht="15" customHeight="1">
      <c r="A9" s="2" t="inlineStr">
        <is>
          <t>SQ-008</t>
        </is>
      </c>
      <c r="B9" s="2" t="inlineStr">
        <is>
          <t>Quality</t>
        </is>
      </c>
      <c r="C9" s="2" t="inlineStr">
        <is>
          <t>Missing inspection due date</t>
        </is>
      </c>
      <c r="D9" s="2" t="n">
        <v>1</v>
      </c>
      <c r="E9" s="2" t="inlineStr">
        <is>
          <t>record</t>
        </is>
      </c>
      <c r="F9" s="2" t="n">
        <v>0</v>
      </c>
      <c r="G9" s="2" t="inlineStr">
        <is>
          <t>1 record</t>
        </is>
      </c>
      <c r="H9" s="2" t="inlineStr">
        <is>
          <t>Open</t>
        </is>
      </c>
      <c r="I9" s="2" t="inlineStr">
        <is>
          <t>Plant Room B2</t>
        </is>
      </c>
      <c r="J9" s="2" t="inlineStr">
        <is>
          <t>Inspection record has no agreed rectification due date</t>
        </is>
      </c>
      <c r="K9" s="2" t="inlineStr">
        <is>
          <t>Confirm due date with QA/QC</t>
        </is>
      </c>
      <c r="L9" s="2" t="inlineStr">
        <is>
          <t>Site Engineer</t>
        </is>
      </c>
      <c r="M9" s="3" t="n"/>
      <c r="N9" s="2">
        <f>IF(M9="","",IF(H9="Closed",0,DATE(2026,4,30)-M9))</f>
        <v/>
      </c>
      <c r="O9" s="2" t="inlineStr">
        <is>
          <t>Data Gap</t>
        </is>
      </c>
      <c r="P9" s="2" t="inlineStr">
        <is>
          <t>QC-APR-019</t>
        </is>
      </c>
      <c r="Q9" s="2" t="inlineStr">
        <is>
          <t>Missing Due Date</t>
        </is>
      </c>
    </row>
  </sheetData>
  <dataValidations count="1">
    <dataValidation sqref="O2:O9" showDropDown="0" showInputMessage="0" showErrorMessage="0" allowBlank="0" type="list">
      <formula1>"Green,Amber,Red,Data Gap"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4.25"/>
  <cols>
    <col width="18" customWidth="1" min="1" max="1"/>
    <col width="14" customWidth="1" min="2" max="2"/>
    <col width="20" customWidth="1" min="3" max="5"/>
    <col width="18" customWidth="1" min="6" max="6"/>
    <col width="16" customWidth="1" min="7" max="7"/>
    <col width="14" customWidth="1" min="8" max="8"/>
    <col width="12" customWidth="1" min="9" max="9"/>
    <col width="16" customWidth="1" min="10" max="10"/>
    <col width="12" customWidth="1" min="11" max="11"/>
    <col width="20" customWidth="1" min="12" max="12"/>
    <col width="16" customWidth="1" min="13" max="13"/>
    <col width="18" customWidth="1" min="14" max="14"/>
    <col width="20" customWidth="1" min="15" max="15"/>
    <col width="18" customWidth="1" min="16" max="17"/>
    <col width="14" customWidth="1" min="18" max="18"/>
    <col width="18" customWidth="1" min="19" max="19"/>
    <col width="14" customWidth="1" min="20" max="20"/>
    <col width="18" customWidth="1" min="21" max="22"/>
    <col width="12" customWidth="1" min="23" max="23"/>
    <col width="48" customWidth="1" min="24" max="24"/>
    <col width="28" customWidth="1" min="25" max="25"/>
  </cols>
  <sheetData>
    <row r="1" ht="15" customHeight="1">
      <c r="A1" s="1" t="inlineStr">
        <is>
          <t>Reporting_Month</t>
        </is>
      </c>
      <c r="B1" s="1" t="inlineStr">
        <is>
          <t>Project_ID</t>
        </is>
      </c>
      <c r="C1" s="1" t="inlineStr">
        <is>
          <t>Original_Net_Contract_Sum_HKD_M</t>
        </is>
      </c>
      <c r="D1" s="1" t="inlineStr">
        <is>
          <t>Contract_Sum_with_VO_HKD_M</t>
        </is>
      </c>
      <c r="E1" s="1" t="inlineStr">
        <is>
          <t>Accounted_VO_Income_HKD_M</t>
        </is>
      </c>
      <c r="F1" s="1" t="inlineStr">
        <is>
          <t>Accounted_VO_Cost_HKD_M</t>
        </is>
      </c>
      <c r="G1" s="1" t="inlineStr">
        <is>
          <t>VO_Net_HKD_M</t>
        </is>
      </c>
      <c r="H1" s="1" t="inlineStr">
        <is>
          <t>Obj_GP_HKD_M</t>
        </is>
      </c>
      <c r="I1" s="1" t="inlineStr">
        <is>
          <t>Obj_GP_%</t>
        </is>
      </c>
      <c r="J1" s="1" t="inlineStr">
        <is>
          <t>Current_GP_HKD_M</t>
        </is>
      </c>
      <c r="K1" s="1" t="inlineStr">
        <is>
          <t>Current_GP_%</t>
        </is>
      </c>
      <c r="L1" s="1" t="inlineStr">
        <is>
          <t>GP_vs_Objective_HKD_M</t>
        </is>
      </c>
      <c r="M1" s="1" t="inlineStr">
        <is>
          <t>GP_vs_Objective_%</t>
        </is>
      </c>
      <c r="N1" s="1" t="inlineStr">
        <is>
          <t>Payment_Received_HKD_M</t>
        </is>
      </c>
      <c r="O1" s="1" t="inlineStr">
        <is>
          <t>Actual_Expenditure_HKD_M</t>
        </is>
      </c>
      <c r="P1" s="1" t="inlineStr">
        <is>
          <t>Nett_Cashflow_HKD_M</t>
        </is>
      </c>
      <c r="Q1" s="1" t="inlineStr">
        <is>
          <t>Cost_Certified_HKD_M</t>
        </is>
      </c>
      <c r="R1" s="1" t="inlineStr">
        <is>
          <t>Cost_Certified_%</t>
        </is>
      </c>
      <c r="S1" s="1" t="inlineStr">
        <is>
          <t>Commitment_HKD_M</t>
        </is>
      </c>
      <c r="T1" s="1" t="inlineStr">
        <is>
          <t>Commitment_%</t>
        </is>
      </c>
      <c r="U1" s="1" t="inlineStr">
        <is>
          <t>Risk_Exposure_HKD_M</t>
        </is>
      </c>
      <c r="V1" s="1" t="inlineStr">
        <is>
          <t>Performance_Score_0_to_10</t>
        </is>
      </c>
      <c r="W1" s="1" t="inlineStr">
        <is>
          <t>RAG_Status</t>
        </is>
      </c>
      <c r="X1" s="1" t="inlineStr">
        <is>
          <t>Raw_Source_Issue</t>
        </is>
      </c>
      <c r="Y1" s="1" t="inlineStr">
        <is>
          <t>Data_Quality_Note</t>
        </is>
      </c>
    </row>
    <row r="2" ht="15" customHeight="1">
      <c r="A2" s="3" t="n">
        <v>46053</v>
      </c>
      <c r="B2" s="2" t="inlineStr">
        <is>
          <t>HKC-EM-001</t>
        </is>
      </c>
      <c r="C2" s="4" t="n">
        <v>68.5</v>
      </c>
      <c r="D2" s="4" t="n">
        <v>69.40000000000001</v>
      </c>
      <c r="E2" s="4" t="n">
        <v>1.05</v>
      </c>
      <c r="F2" s="4" t="n">
        <v>0.25</v>
      </c>
      <c r="G2" s="4" t="n">
        <v>0.8</v>
      </c>
      <c r="H2" s="4" t="n">
        <v>3.42</v>
      </c>
      <c r="I2" s="5" t="n">
        <v>0.05</v>
      </c>
      <c r="J2" s="4" t="n">
        <v>3.48</v>
      </c>
      <c r="K2" s="5" t="n">
        <v>0.05014409221902017</v>
      </c>
      <c r="L2" s="4" t="n">
        <v>0.06000000000000005</v>
      </c>
      <c r="M2" s="5" t="n">
        <v>0.0001440922190201685</v>
      </c>
      <c r="N2" s="4" t="n">
        <v>38.6</v>
      </c>
      <c r="O2" s="4" t="n">
        <v>38.2</v>
      </c>
      <c r="P2" s="4" t="n">
        <v>0.3999999999999986</v>
      </c>
      <c r="Q2" s="4" t="n">
        <v>39.8</v>
      </c>
      <c r="R2" s="5" t="n">
        <v>0.5734870317002881</v>
      </c>
      <c r="S2" s="4" t="n">
        <v>58.4</v>
      </c>
      <c r="T2" s="5" t="n">
        <v>0.8414985590778097</v>
      </c>
      <c r="U2" s="4" t="n">
        <v>0.3</v>
      </c>
      <c r="V2" s="2" t="n">
        <v>8</v>
      </c>
      <c r="W2" s="2" t="inlineStr">
        <is>
          <t>Green</t>
        </is>
      </c>
      <c r="X2" s="2" t="n"/>
      <c r="Y2" s="2" t="n"/>
    </row>
    <row r="3" ht="15" customHeight="1">
      <c r="A3" s="3" t="n">
        <v>46081</v>
      </c>
      <c r="B3" s="2" t="inlineStr">
        <is>
          <t>HKC-EM-001</t>
        </is>
      </c>
      <c r="C3" s="4" t="n">
        <v>68.5</v>
      </c>
      <c r="D3" s="4" t="n">
        <v>69.90000000000001</v>
      </c>
      <c r="E3" s="4" t="n">
        <v>1.75</v>
      </c>
      <c r="F3" s="4" t="n">
        <v>0.75</v>
      </c>
      <c r="G3" s="4" t="n">
        <v>1</v>
      </c>
      <c r="H3" s="4" t="n">
        <v>3.42</v>
      </c>
      <c r="I3" s="5" t="n">
        <v>0.05</v>
      </c>
      <c r="J3" s="4" t="n">
        <v>3.36</v>
      </c>
      <c r="K3" s="5" t="n">
        <v>0.04806866952789699</v>
      </c>
      <c r="L3" s="4" t="n">
        <v>-0.06000000000000005</v>
      </c>
      <c r="M3" s="5" t="n">
        <v>-0.001931330472103011</v>
      </c>
      <c r="N3" s="4" t="n">
        <v>41.9</v>
      </c>
      <c r="O3" s="4" t="n">
        <v>41.5</v>
      </c>
      <c r="P3" s="4" t="n">
        <v>0.3999999999999986</v>
      </c>
      <c r="Q3" s="4" t="n">
        <v>43.1</v>
      </c>
      <c r="R3" s="5" t="n">
        <v>0.6165951359084406</v>
      </c>
      <c r="S3" s="4" t="n">
        <v>61.2</v>
      </c>
      <c r="T3" s="5" t="n">
        <v>0.8755364806866952</v>
      </c>
      <c r="U3" s="4" t="n">
        <v>0.4</v>
      </c>
      <c r="V3" s="2" t="n">
        <v>7</v>
      </c>
      <c r="W3" s="2" t="inlineStr">
        <is>
          <t>Yellow</t>
        </is>
      </c>
      <c r="X3" s="2" t="n"/>
      <c r="Y3" s="2" t="n"/>
    </row>
    <row r="4">
      <c r="A4" s="3" t="n">
        <v>46112</v>
      </c>
      <c r="B4" s="2" t="inlineStr">
        <is>
          <t>HKC-EM-001</t>
        </is>
      </c>
      <c r="C4" s="4" t="n">
        <v>68.5</v>
      </c>
      <c r="D4" s="4" t="n">
        <v>70.5</v>
      </c>
      <c r="E4" s="4" t="n">
        <v>2.55</v>
      </c>
      <c r="F4" s="4" t="n">
        <v>1.25</v>
      </c>
      <c r="G4" s="4" t="n">
        <v>1.3</v>
      </c>
      <c r="H4" s="4" t="n">
        <v>3.42</v>
      </c>
      <c r="I4" s="5" t="n">
        <v>0.05</v>
      </c>
      <c r="J4" s="4" t="n">
        <v>3.2</v>
      </c>
      <c r="K4" s="5" t="n">
        <v>0.04539007092198582</v>
      </c>
      <c r="L4" s="4" t="n">
        <v>-0.2199999999999998</v>
      </c>
      <c r="M4" s="5" t="n">
        <v>-0.004609929078014184</v>
      </c>
      <c r="N4" s="4" t="n">
        <v>45.8</v>
      </c>
      <c r="O4" s="4" t="n">
        <v>45.3</v>
      </c>
      <c r="P4" s="4" t="n">
        <v>0.5</v>
      </c>
      <c r="Q4" s="4" t="n">
        <v>47.4</v>
      </c>
      <c r="R4" s="5" t="n">
        <v>0.6723404255319149</v>
      </c>
      <c r="S4" s="4" t="n">
        <v>64.8</v>
      </c>
      <c r="T4" s="5" t="n">
        <v>0.9191489361702128</v>
      </c>
      <c r="U4" s="4" t="n">
        <v>0.6</v>
      </c>
      <c r="V4" s="2" t="n">
        <v>7</v>
      </c>
      <c r="W4" s="2" t="inlineStr">
        <is>
          <t>Yellow</t>
        </is>
      </c>
      <c r="X4" s="2" t="n"/>
      <c r="Y4" s="2" t="inlineStr">
        <is>
          <t>Previous month baseline</t>
        </is>
      </c>
    </row>
    <row r="5">
      <c r="A5" s="3" t="n">
        <v>46142</v>
      </c>
      <c r="B5" s="2" t="inlineStr">
        <is>
          <t>HKC-EM-001</t>
        </is>
      </c>
      <c r="C5" s="4" t="n">
        <v>68.5</v>
      </c>
      <c r="D5" s="4" t="n">
        <v>71.2</v>
      </c>
      <c r="E5" s="4" t="n">
        <v>3.1</v>
      </c>
      <c r="F5" s="4" t="n">
        <v>1.6</v>
      </c>
      <c r="G5" s="4" t="n">
        <v>1.5</v>
      </c>
      <c r="H5" s="4" t="n">
        <v>3.42</v>
      </c>
      <c r="I5" s="5" t="n">
        <v>0.05</v>
      </c>
      <c r="J5" s="4" t="n">
        <v>3.05</v>
      </c>
      <c r="K5" s="5" t="n">
        <v>0.04283707865168539</v>
      </c>
      <c r="L5" s="4" t="n">
        <v>-0.3700000000000001</v>
      </c>
      <c r="M5" s="5" t="n">
        <v>-0.007162921348314616</v>
      </c>
      <c r="N5" s="4" t="n">
        <v>48.2</v>
      </c>
      <c r="O5" s="4" t="n">
        <v>48</v>
      </c>
      <c r="P5" s="4" t="n">
        <v>0.2000000000000028</v>
      </c>
      <c r="Q5" s="4" t="n">
        <v>49.5</v>
      </c>
      <c r="R5" s="5" t="n">
        <v>0.6952247191011236</v>
      </c>
      <c r="S5" s="4" t="n">
        <v>66.90000000000001</v>
      </c>
      <c r="T5" s="5" t="n">
        <v>0.9396067415730337</v>
      </c>
      <c r="U5" s="4" t="n">
        <v>1.2</v>
      </c>
      <c r="V5" s="2" t="n">
        <v>6</v>
      </c>
      <c r="W5" s="2" t="inlineStr">
        <is>
          <t>Yellow</t>
        </is>
      </c>
      <c r="X5" s="2" t="inlineStr">
        <is>
          <t>Original QS matrix had duplicate cashflow labels and a simulated formula error marker FORMULA_ERROR_DIV0 in a non-official check column; this sheet uses official KPI fields only.</t>
        </is>
      </c>
      <c r="Y5" s="2" t="inlineStr">
        <is>
          <t>Current month for demo</t>
        </is>
      </c>
    </row>
  </sheetData>
  <dataValidations count="1">
    <dataValidation sqref="W2:W3" showDropDown="0" showInputMessage="0" showErrorMessage="0" allowBlank="0" type="list">
      <formula1>"Green,Amber,Red,Data Gap"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4.25"/>
  <cols>
    <col width="12" customWidth="1" min="1" max="1"/>
    <col width="20" customWidth="1" min="2" max="2"/>
    <col width="28" customWidth="1" min="3" max="3"/>
    <col width="48" customWidth="1" min="4" max="4"/>
    <col width="42" customWidth="1" min="5" max="5"/>
    <col width="34" customWidth="1" min="6" max="6"/>
    <col width="44" customWidth="1" min="7" max="7"/>
    <col width="24" customWidth="1" min="8" max="8"/>
    <col width="16" customWidth="1" min="9" max="9"/>
    <col width="14" customWidth="1" min="10" max="10"/>
    <col width="12" customWidth="1" min="11" max="11"/>
    <col width="28" customWidth="1" min="12" max="12"/>
    <col width="30" customWidth="1" min="13" max="13"/>
  </cols>
  <sheetData>
    <row r="1" ht="15" customHeight="1">
      <c r="A1" s="1" t="inlineStr">
        <is>
          <t>Issue_ID</t>
        </is>
      </c>
      <c r="B1" s="1" t="inlineStr">
        <is>
          <t>Category</t>
        </is>
      </c>
      <c r="C1" s="1" t="inlineStr">
        <is>
          <t>Linked_Records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Decision_Required</t>
        </is>
      </c>
      <c r="G1" s="1" t="inlineStr">
        <is>
          <t>Recommendation</t>
        </is>
      </c>
      <c r="H1" s="1" t="inlineStr">
        <is>
          <t>Owner</t>
        </is>
      </c>
      <c r="I1" s="1" t="inlineStr">
        <is>
          <t>Due_Date</t>
        </is>
      </c>
      <c r="J1" s="1" t="inlineStr">
        <is>
          <t>Status</t>
        </is>
      </c>
      <c r="K1" s="1" t="inlineStr">
        <is>
          <t>RAG_Status</t>
        </is>
      </c>
      <c r="L1" s="1" t="inlineStr">
        <is>
          <t>Human_Review_Gate</t>
        </is>
      </c>
      <c r="M1" s="1" t="inlineStr">
        <is>
          <t>Notes</t>
        </is>
      </c>
    </row>
    <row r="2" ht="15" customHeight="1">
      <c r="A2" s="2" t="inlineStr">
        <is>
          <t>ISS-001</t>
        </is>
      </c>
      <c r="B2" s="2" t="inlineStr">
        <is>
          <t>Submission/RFI</t>
        </is>
      </c>
      <c r="C2" s="2" t="inlineStr">
        <is>
          <t>RFI-034 / PRG-003 / M-006</t>
        </is>
      </c>
      <c r="D2" s="2" t="inlineStr">
        <is>
          <t>Overdue RFI-034 blocking Zone B duct installation</t>
        </is>
      </c>
      <c r="E2" s="2" t="inlineStr">
        <is>
          <t>Potential 10-day delay to E&amp;M first fix and ceiling closure</t>
        </is>
      </c>
      <c r="F2" s="2" t="inlineStr">
        <is>
          <t>Escalate to main contractor / consultant</t>
        </is>
      </c>
      <c r="G2" s="2" t="inlineStr">
        <is>
          <t>Issue formal escalation and request decision meeting</t>
        </is>
      </c>
      <c r="H2" s="2" t="inlineStr">
        <is>
          <t>PM</t>
        </is>
      </c>
      <c r="I2" s="3" t="n">
        <v>46147</v>
      </c>
      <c r="J2" s="2" t="inlineStr">
        <is>
          <t>Open</t>
        </is>
      </c>
      <c r="K2" s="2" t="inlineStr">
        <is>
          <t>Red</t>
        </is>
      </c>
      <c r="L2" s="2" t="inlineStr">
        <is>
          <t>PM + Technical Manager</t>
        </is>
      </c>
      <c r="M2" s="2" t="inlineStr">
        <is>
          <t>Core demo issue</t>
        </is>
      </c>
    </row>
    <row r="3" ht="15" customHeight="1">
      <c r="A3" s="2" t="inlineStr">
        <is>
          <t>ISS-002</t>
        </is>
      </c>
      <c r="B3" s="2" t="inlineStr">
        <is>
          <t>Programme Recovery</t>
        </is>
      </c>
      <c r="C3" s="2" t="inlineStr">
        <is>
          <t>PRG-012 / M-013</t>
        </is>
      </c>
      <c r="D3" s="2" t="inlineStr">
        <is>
          <t>Ceiling closure Tower A L16-L18 forecast 14 days late</t>
        </is>
      </c>
      <c r="E3" s="2" t="inlineStr">
        <is>
          <t>Critical interface risk with fit-out team</t>
        </is>
      </c>
      <c r="F3" s="2" t="inlineStr">
        <is>
          <t>Approve weekend recovery shift</t>
        </is>
      </c>
      <c r="G3" s="2" t="inlineStr">
        <is>
          <t>Approve controlled weekend work after safety method review</t>
        </is>
      </c>
      <c r="H3" s="2" t="inlineStr">
        <is>
          <t>Project Director</t>
        </is>
      </c>
      <c r="I3" s="3" t="n">
        <v>46149</v>
      </c>
      <c r="J3" s="2" t="inlineStr">
        <is>
          <t>Open</t>
        </is>
      </c>
      <c r="K3" s="2" t="inlineStr">
        <is>
          <t>Red</t>
        </is>
      </c>
      <c r="L3" s="2" t="inlineStr">
        <is>
          <t>Project Director</t>
        </is>
      </c>
      <c r="M3" s="2" t="inlineStr">
        <is>
          <t>Director decision required</t>
        </is>
      </c>
    </row>
    <row r="4" ht="15" customHeight="1">
      <c r="A4" s="2" t="inlineStr">
        <is>
          <t>ISS-003</t>
        </is>
      </c>
      <c r="B4" s="2" t="inlineStr">
        <is>
          <t>Procurement</t>
        </is>
      </c>
      <c r="C4" s="2" t="inlineStr">
        <is>
          <t>MAT-021 / PRG-005 / M-012</t>
        </is>
      </c>
      <c r="D4" s="2" t="inlineStr">
        <is>
          <t>AHU delivery forecast 9 days late</t>
        </is>
      </c>
      <c r="E4" s="2" t="inlineStr">
        <is>
          <t>Potential plant room installation delay</t>
        </is>
      </c>
      <c r="F4" s="2" t="inlineStr">
        <is>
          <t>Supplier recovery plan required</t>
        </is>
      </c>
      <c r="G4" s="2" t="inlineStr">
        <is>
          <t>Hold supplier recovery meeting and confirm delivery options</t>
        </is>
      </c>
      <c r="H4" s="2" t="inlineStr">
        <is>
          <t>Procurement Manager</t>
        </is>
      </c>
      <c r="I4" s="3" t="n">
        <v>46148</v>
      </c>
      <c r="J4" s="2" t="inlineStr">
        <is>
          <t>Open</t>
        </is>
      </c>
      <c r="K4" s="2" t="inlineStr">
        <is>
          <t>Yellow</t>
        </is>
      </c>
      <c r="L4" s="2" t="inlineStr">
        <is>
          <t>PM + Procurement Manager</t>
        </is>
      </c>
      <c r="M4" s="2" t="n"/>
    </row>
    <row r="5" ht="15" customHeight="1">
      <c r="A5" s="2" t="inlineStr">
        <is>
          <t>ISS-004</t>
        </is>
      </c>
      <c r="B5" s="2" t="inlineStr">
        <is>
          <t>Commercial</t>
        </is>
      </c>
      <c r="C5" s="2" t="inlineStr">
        <is>
          <t>06_Commercial_Cost</t>
        </is>
      </c>
      <c r="D5" s="2" t="inlineStr">
        <is>
          <t>Current GP below objective by HK$0.37M</t>
        </is>
      </c>
      <c r="E5" s="2" t="inlineStr">
        <is>
          <t>Margin erosion risk</t>
        </is>
      </c>
      <c r="F5" s="2" t="inlineStr">
        <is>
          <t>Review VO/cost recovery strategy</t>
        </is>
      </c>
      <c r="G5" s="2" t="inlineStr">
        <is>
          <t>QS to review VO pricing and commitment exposure</t>
        </is>
      </c>
      <c r="H5" s="2" t="inlineStr">
        <is>
          <t>QS / Commercial Manager</t>
        </is>
      </c>
      <c r="I5" s="3" t="n">
        <v>46152</v>
      </c>
      <c r="J5" s="2" t="inlineStr">
        <is>
          <t>Open</t>
        </is>
      </c>
      <c r="K5" s="2" t="inlineStr">
        <is>
          <t>Yellow</t>
        </is>
      </c>
      <c r="L5" s="2" t="inlineStr">
        <is>
          <t>QS + Director</t>
        </is>
      </c>
      <c r="M5" s="2" t="n"/>
    </row>
    <row r="6" ht="15" customHeight="1">
      <c r="A6" s="2" t="inlineStr">
        <is>
          <t>ISS-005</t>
        </is>
      </c>
      <c r="B6" s="2" t="inlineStr">
        <is>
          <t>Safety</t>
        </is>
      </c>
      <c r="C6" s="2" t="inlineStr">
        <is>
          <t>SQ-004</t>
        </is>
      </c>
      <c r="D6" s="2" t="inlineStr">
        <is>
          <t>High-risk work-at-height observation remains open</t>
        </is>
      </c>
      <c r="E6" s="2" t="inlineStr">
        <is>
          <t>Safety risk and potential stoppage</t>
        </is>
      </c>
      <c r="F6" s="2" t="inlineStr">
        <is>
          <t>Immediate closure required</t>
        </is>
      </c>
      <c r="G6" s="2" t="inlineStr">
        <is>
          <t>Close item and provide evidence photo</t>
        </is>
      </c>
      <c r="H6" s="2" t="inlineStr">
        <is>
          <t>Safety Officer</t>
        </is>
      </c>
      <c r="I6" s="3" t="n">
        <v>46144</v>
      </c>
      <c r="J6" s="2" t="inlineStr">
        <is>
          <t>Open</t>
        </is>
      </c>
      <c r="K6" s="2" t="inlineStr">
        <is>
          <t>Red</t>
        </is>
      </c>
      <c r="L6" s="2" t="inlineStr">
        <is>
          <t>Safety Officer</t>
        </is>
      </c>
      <c r="M6" s="2" t="n"/>
    </row>
    <row r="7" ht="15" customHeight="1">
      <c r="A7" s="2" t="inlineStr">
        <is>
          <t>ISS-006</t>
        </is>
      </c>
      <c r="B7" s="2" t="inlineStr">
        <is>
          <t>Quality</t>
        </is>
      </c>
      <c r="C7" s="2" t="inlineStr">
        <is>
          <t>NCR-009 / SQ-005</t>
        </is>
      </c>
      <c r="D7" s="2" t="inlineStr">
        <is>
          <t>Cable tray support spacing NCR remains open</t>
        </is>
      </c>
      <c r="E7" s="2" t="inlineStr">
        <is>
          <t>May affect inspection and rework cost</t>
        </is>
      </c>
      <c r="F7" s="2" t="inlineStr">
        <is>
          <t>Rectification approval</t>
        </is>
      </c>
      <c r="G7" s="2" t="inlineStr">
        <is>
          <t>Rectify and re-inspect Tower A L12</t>
        </is>
      </c>
      <c r="H7" s="2" t="inlineStr">
        <is>
          <t>QA/QC Manager</t>
        </is>
      </c>
      <c r="I7" s="3" t="n">
        <v>46146</v>
      </c>
      <c r="J7" s="2" t="inlineStr">
        <is>
          <t>Open</t>
        </is>
      </c>
      <c r="K7" s="2" t="inlineStr">
        <is>
          <t>Yellow</t>
        </is>
      </c>
      <c r="L7" s="2" t="inlineStr">
        <is>
          <t>QA/QC Manager</t>
        </is>
      </c>
      <c r="M7" s="2" t="n"/>
    </row>
    <row r="8" ht="15" customHeight="1">
      <c r="A8" s="2" t="inlineStr">
        <is>
          <t>ISS-007</t>
        </is>
      </c>
      <c r="B8" s="2" t="inlineStr">
        <is>
          <t>Data Quality</t>
        </is>
      </c>
      <c r="C8" s="2" t="inlineStr">
        <is>
          <t>PRG-006</t>
        </is>
      </c>
      <c r="D8" s="2" t="inlineStr">
        <is>
          <t>Actual progress missing for L20-L23 small power containment</t>
        </is>
      </c>
      <c r="E8" s="2" t="inlineStr">
        <is>
          <t>Report confidence reduced</t>
        </is>
      </c>
      <c r="F8" s="2" t="inlineStr">
        <is>
          <t>Require progress update before final report</t>
        </is>
      </c>
      <c r="G8" s="2" t="inlineStr">
        <is>
          <t>Section engineer to update actual % and quantity</t>
        </is>
      </c>
      <c r="H8" s="2" t="inlineStr">
        <is>
          <t>Section Engineer</t>
        </is>
      </c>
      <c r="I8" s="3" t="n">
        <v>46145</v>
      </c>
      <c r="J8" s="2" t="inlineStr">
        <is>
          <t>Open</t>
        </is>
      </c>
      <c r="K8" s="2" t="inlineStr">
        <is>
          <t>Data Gap</t>
        </is>
      </c>
      <c r="L8" s="2" t="inlineStr">
        <is>
          <t>PM</t>
        </is>
      </c>
      <c r="M8" s="2" t="inlineStr">
        <is>
          <t>Use to demo AI not guessing</t>
        </is>
      </c>
    </row>
    <row r="9" ht="15" customHeight="1">
      <c r="A9" s="2" t="inlineStr">
        <is>
          <t>ISS-008</t>
        </is>
      </c>
      <c r="B9" s="2" t="inlineStr">
        <is>
          <t>Data Quality</t>
        </is>
      </c>
      <c r="C9" s="2" t="inlineStr">
        <is>
          <t>RFI / Submission status fields</t>
        </is>
      </c>
      <c r="D9" s="2" t="inlineStr">
        <is>
          <t>Status labels are inconsistent: approved, OPEN, pending, PENDING</t>
        </is>
      </c>
      <c r="E9" s="2" t="inlineStr">
        <is>
          <t>Automation may misclassify status</t>
        </is>
      </c>
      <c r="F9" s="2" t="inlineStr">
        <is>
          <t>Normalize status values</t>
        </is>
      </c>
      <c r="G9" s="2" t="inlineStr">
        <is>
          <t>Codex script should standardize statuses and log issue</t>
        </is>
      </c>
      <c r="H9" s="2" t="inlineStr">
        <is>
          <t>Technical Manager</t>
        </is>
      </c>
      <c r="I9" s="3" t="n">
        <v>46145</v>
      </c>
      <c r="J9" s="2" t="inlineStr">
        <is>
          <t>Open</t>
        </is>
      </c>
      <c r="K9" s="2" t="inlineStr">
        <is>
          <t>Yellow</t>
        </is>
      </c>
      <c r="L9" s="2" t="inlineStr">
        <is>
          <t>Technical Manager</t>
        </is>
      </c>
      <c r="M9" s="2" t="inlineStr">
        <is>
          <t>Self-healing demo</t>
        </is>
      </c>
    </row>
  </sheetData>
  <dataValidations count="1">
    <dataValidation sqref="K2:K9" showDropDown="0" showInputMessage="0" showErrorMessage="0" allowBlank="0" type="list">
      <formula1>"Green,Amber,Red,Data Gap"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4.25"/>
  <cols>
    <col width="12" customWidth="1" min="1" max="1"/>
    <col width="30" customWidth="1" min="2" max="2"/>
    <col width="42" customWidth="1" min="3" max="3"/>
    <col width="28" customWidth="1" min="4" max="4"/>
    <col width="40" customWidth="1" min="5" max="5"/>
    <col width="44" customWidth="1" min="6" max="6"/>
    <col width="26" customWidth="1" min="7" max="7"/>
    <col width="24" customWidth="1" min="8" max="8"/>
    <col width="44" customWidth="1" min="9" max="9"/>
    <col width="30" customWidth="1" min="10" max="10"/>
  </cols>
  <sheetData>
    <row r="1" ht="15" customHeight="1">
      <c r="A1" s="1" t="inlineStr">
        <is>
          <t>Metric_ID</t>
        </is>
      </c>
      <c r="B1" s="1" t="inlineStr">
        <is>
          <t>Metric_Name</t>
        </is>
      </c>
      <c r="C1" s="1" t="inlineStr">
        <is>
          <t>Management_Question</t>
        </is>
      </c>
      <c r="D1" s="1" t="inlineStr">
        <is>
          <t>Source_Sheet</t>
        </is>
      </c>
      <c r="E1" s="1" t="inlineStr">
        <is>
          <t>Source_Fields</t>
        </is>
      </c>
      <c r="F1" s="1" t="inlineStr">
        <is>
          <t>Formula_or_Logic</t>
        </is>
      </c>
      <c r="G1" s="1" t="inlineStr">
        <is>
          <t>Owner</t>
        </is>
      </c>
      <c r="H1" s="1" t="inlineStr">
        <is>
          <t>Primary_Audience</t>
        </is>
      </c>
      <c r="I1" s="1" t="inlineStr">
        <is>
          <t>RAG_Rule</t>
        </is>
      </c>
      <c r="J1" s="1" t="inlineStr">
        <is>
          <t>Evidence_Required</t>
        </is>
      </c>
    </row>
    <row r="2" ht="15" customHeight="1">
      <c r="A2" s="2" t="inlineStr">
        <is>
          <t>PRO-001</t>
        </is>
      </c>
      <c r="B2" s="2" t="inlineStr">
        <is>
          <t>Progress variance by area</t>
        </is>
      </c>
      <c r="C2" s="2" t="inlineStr">
        <is>
          <t>Which areas are behind plan?</t>
        </is>
      </c>
      <c r="D2" s="2" t="inlineStr">
        <is>
          <t>01_Area_Progress</t>
        </is>
      </c>
      <c r="E2" s="2" t="inlineStr">
        <is>
          <t>Planned_%_This_Month; Actual_%_This_Month</t>
        </is>
      </c>
      <c r="F2" s="2" t="inlineStr">
        <is>
          <t>Actual % minus Planned %</t>
        </is>
      </c>
      <c r="G2" s="2" t="inlineStr">
        <is>
          <t>Construction Manager</t>
        </is>
      </c>
      <c r="H2" s="2" t="inlineStr">
        <is>
          <t>PM / Director</t>
        </is>
      </c>
      <c r="I2" s="2" t="inlineStr">
        <is>
          <t>Red &lt;= -10%; Yellow &lt;= -5%; Green otherwise</t>
        </is>
      </c>
      <c r="J2" s="2" t="inlineStr">
        <is>
          <t>Area progress table + photos</t>
        </is>
      </c>
    </row>
    <row r="3" ht="15" customHeight="1">
      <c r="A3" s="2" t="inlineStr">
        <is>
          <t>PRO-002</t>
        </is>
      </c>
      <c r="B3" s="2" t="inlineStr">
        <is>
          <t>Data gap in progress</t>
        </is>
      </c>
      <c r="C3" s="2" t="inlineStr">
        <is>
          <t>Which progress rows cannot be trusted?</t>
        </is>
      </c>
      <c r="D3" s="2" t="inlineStr">
        <is>
          <t>01_Area_Progress</t>
        </is>
      </c>
      <c r="E3" s="2" t="inlineStr">
        <is>
          <t>Actual_%_This_Month; Actual_Qty</t>
        </is>
      </c>
      <c r="F3" s="2" t="inlineStr">
        <is>
          <t>Flag missing actual progress or actual quantity</t>
        </is>
      </c>
      <c r="G3" s="2" t="inlineStr">
        <is>
          <t>PM</t>
        </is>
      </c>
      <c r="H3" s="2" t="inlineStr">
        <is>
          <t>PM</t>
        </is>
      </c>
      <c r="I3" s="2" t="inlineStr">
        <is>
          <t>Data Gap if required actual field missing</t>
        </is>
      </c>
      <c r="J3" s="2" t="inlineStr">
        <is>
          <t>Section update</t>
        </is>
      </c>
    </row>
    <row r="4" ht="15" customHeight="1">
      <c r="A4" s="2" t="inlineStr">
        <is>
          <t>SCH-001</t>
        </is>
      </c>
      <c r="B4" s="2" t="inlineStr">
        <is>
          <t>Milestone variance days</t>
        </is>
      </c>
      <c r="C4" s="2" t="inlineStr">
        <is>
          <t>Is the programme delayed?</t>
        </is>
      </c>
      <c r="D4" s="2" t="inlineStr">
        <is>
          <t>02_Programme_Milestones</t>
        </is>
      </c>
      <c r="E4" s="2" t="inlineStr">
        <is>
          <t>Baseline_Date; Current_Forecast_Date</t>
        </is>
      </c>
      <c r="F4" s="2" t="inlineStr">
        <is>
          <t>Current forecast minus baseline date</t>
        </is>
      </c>
      <c r="G4" s="2" t="inlineStr">
        <is>
          <t>Planner</t>
        </is>
      </c>
      <c r="H4" s="2" t="inlineStr">
        <is>
          <t>Director / PM</t>
        </is>
      </c>
      <c r="I4" s="2" t="inlineStr">
        <is>
          <t>Red if critical path delay &gt;7 days; Yellow if delay &gt;0</t>
        </is>
      </c>
      <c r="J4" s="2" t="inlineStr">
        <is>
          <t>Programme update</t>
        </is>
      </c>
    </row>
    <row r="5" ht="15" customHeight="1">
      <c r="A5" s="2" t="inlineStr">
        <is>
          <t>RFI-001</t>
        </is>
      </c>
      <c r="B5" s="2" t="inlineStr">
        <is>
          <t>Overdue RFI / submission days</t>
        </is>
      </c>
      <c r="C5" s="2" t="inlineStr">
        <is>
          <t>What approvals are blocking work?</t>
        </is>
      </c>
      <c r="D5" s="2" t="inlineStr">
        <is>
          <t>03_Submission_RFI</t>
        </is>
      </c>
      <c r="E5" s="2" t="inlineStr">
        <is>
          <t>Response_Due_Date; Response_Received_Date</t>
        </is>
      </c>
      <c r="F5" s="2" t="inlineStr">
        <is>
          <t>If no response, report-as-of date minus due date</t>
        </is>
      </c>
      <c r="G5" s="2" t="inlineStr">
        <is>
          <t>Technical Manager</t>
        </is>
      </c>
      <c r="H5" s="2" t="inlineStr">
        <is>
          <t>PM</t>
        </is>
      </c>
      <c r="I5" s="2" t="inlineStr">
        <is>
          <t>Red if &gt;14 days or impact &gt;=10 days; Yellow if overdue</t>
        </is>
      </c>
      <c r="J5" s="2" t="inlineStr">
        <is>
          <t>RFI register</t>
        </is>
      </c>
    </row>
    <row r="6" ht="15" customHeight="1">
      <c r="A6" s="2" t="inlineStr">
        <is>
          <t>RFI-002</t>
        </is>
      </c>
      <c r="B6" s="2" t="inlineStr">
        <is>
          <t>Status normalization quality</t>
        </is>
      </c>
      <c r="C6" s="2" t="inlineStr">
        <is>
          <t>Can AI classify submission status reliably?</t>
        </is>
      </c>
      <c r="D6" s="2" t="inlineStr">
        <is>
          <t>03_Submission_RFI</t>
        </is>
      </c>
      <c r="E6" s="2" t="inlineStr">
        <is>
          <t>Status_Raw</t>
        </is>
      </c>
      <c r="F6" s="2" t="inlineStr">
        <is>
          <t>Normalize casing and synonyms</t>
        </is>
      </c>
      <c r="G6" s="2" t="inlineStr">
        <is>
          <t>Technical Manager</t>
        </is>
      </c>
      <c r="H6" s="2" t="inlineStr">
        <is>
          <t>PM / Codex demo</t>
        </is>
      </c>
      <c r="I6" s="2" t="inlineStr">
        <is>
          <t>Yellow if inconsistent status labels found</t>
        </is>
      </c>
      <c r="J6" s="2" t="inlineStr">
        <is>
          <t>Raw status field</t>
        </is>
      </c>
    </row>
    <row r="7" ht="15" customHeight="1">
      <c r="A7" s="2" t="inlineStr">
        <is>
          <t>PRC-001</t>
        </is>
      </c>
      <c r="B7" s="2" t="inlineStr">
        <is>
          <t>Procurement delivery variance</t>
        </is>
      </c>
      <c r="C7" s="2" t="inlineStr">
        <is>
          <t>Are long-lead items late?</t>
        </is>
      </c>
      <c r="D7" s="2" t="inlineStr">
        <is>
          <t>04_Procurement</t>
        </is>
      </c>
      <c r="E7" s="2" t="inlineStr">
        <is>
          <t>Required_Onsite_Date; Forecast_Delivery_Date</t>
        </is>
      </c>
      <c r="F7" s="2" t="inlineStr">
        <is>
          <t>Forecast delivery minus required date</t>
        </is>
      </c>
      <c r="G7" s="2" t="inlineStr">
        <is>
          <t>Procurement Manager</t>
        </is>
      </c>
      <c r="H7" s="2" t="inlineStr">
        <is>
          <t>PM / Director</t>
        </is>
      </c>
      <c r="I7" s="2" t="inlineStr">
        <is>
          <t>Data Gap if no forecast; Yellow if late; Red if approval/PO not completed</t>
        </is>
      </c>
      <c r="J7" s="2" t="inlineStr">
        <is>
          <t>Procurement tracker</t>
        </is>
      </c>
    </row>
    <row r="8" ht="15" customHeight="1">
      <c r="A8" s="2" t="inlineStr">
        <is>
          <t>SQE-001</t>
        </is>
      </c>
      <c r="B8" s="2" t="inlineStr">
        <is>
          <t>Safety exceptions</t>
        </is>
      </c>
      <c r="C8" s="2" t="inlineStr">
        <is>
          <t>Any safety red flags?</t>
        </is>
      </c>
      <c r="D8" s="2" t="inlineStr">
        <is>
          <t>05_Safety_Quality</t>
        </is>
      </c>
      <c r="E8" s="2" t="inlineStr">
        <is>
          <t>RAG_Status; Days_Overdue</t>
        </is>
      </c>
      <c r="F8" s="2" t="inlineStr">
        <is>
          <t>Count open Red/Yellow safety records</t>
        </is>
      </c>
      <c r="G8" s="2" t="inlineStr">
        <is>
          <t>Safety Officer</t>
        </is>
      </c>
      <c r="H8" s="2" t="inlineStr">
        <is>
          <t>Director / PM</t>
        </is>
      </c>
      <c r="I8" s="2" t="inlineStr">
        <is>
          <t>Red if high-risk outstanding item open</t>
        </is>
      </c>
      <c r="J8" s="2" t="inlineStr">
        <is>
          <t>Safety log</t>
        </is>
      </c>
    </row>
    <row r="9" ht="15" customHeight="1">
      <c r="A9" s="2" t="inlineStr">
        <is>
          <t>QUA-001</t>
        </is>
      </c>
      <c r="B9" s="2" t="inlineStr">
        <is>
          <t>Open NCR / quality exception</t>
        </is>
      </c>
      <c r="C9" s="2" t="inlineStr">
        <is>
          <t>Any quality issue affecting handover?</t>
        </is>
      </c>
      <c r="D9" s="2" t="inlineStr">
        <is>
          <t>05_Safety_Quality</t>
        </is>
      </c>
      <c r="E9" s="2" t="inlineStr">
        <is>
          <t>Category; RAG_Status</t>
        </is>
      </c>
      <c r="F9" s="2" t="inlineStr">
        <is>
          <t>Count open quality Yellow/Red records</t>
        </is>
      </c>
      <c r="G9" s="2" t="inlineStr">
        <is>
          <t>QA/QC Manager</t>
        </is>
      </c>
      <c r="H9" s="2" t="inlineStr">
        <is>
          <t>PM</t>
        </is>
      </c>
      <c r="I9" s="2" t="inlineStr">
        <is>
          <t>Yellow if open NCR exists</t>
        </is>
      </c>
      <c r="J9" s="2" t="inlineStr">
        <is>
          <t>NCR / inspection record</t>
        </is>
      </c>
    </row>
    <row r="10" ht="15" customHeight="1">
      <c r="A10" s="2" t="inlineStr">
        <is>
          <t>COM-001</t>
        </is>
      </c>
      <c r="B10" s="2" t="inlineStr">
        <is>
          <t>Current GP %</t>
        </is>
      </c>
      <c r="C10" s="2" t="inlineStr">
        <is>
          <t>Is the project profitable?</t>
        </is>
      </c>
      <c r="D10" s="2" t="inlineStr">
        <is>
          <t>06_Commercial_Cost</t>
        </is>
      </c>
      <c r="E10" s="2" t="inlineStr">
        <is>
          <t>Current_GP_HKD_M; Contract_Sum_with_VO_HKD_M</t>
        </is>
      </c>
      <c r="F10" s="2" t="inlineStr">
        <is>
          <t>Current GP divided by contract sum with VO</t>
        </is>
      </c>
      <c r="G10" s="2" t="inlineStr">
        <is>
          <t>QS / Commercial Manager</t>
        </is>
      </c>
      <c r="H10" s="2" t="inlineStr">
        <is>
          <t>Director / QS</t>
        </is>
      </c>
      <c r="I10" s="2" t="inlineStr">
        <is>
          <t>Yellow if below objective GP; Red if materially below</t>
        </is>
      </c>
      <c r="J10" s="2" t="inlineStr">
        <is>
          <t>Commercial matrix</t>
        </is>
      </c>
    </row>
    <row r="11" ht="15" customHeight="1">
      <c r="A11" s="2" t="inlineStr">
        <is>
          <t>COM-002</t>
        </is>
      </c>
      <c r="B11" s="2" t="inlineStr">
        <is>
          <t>GP vs objective</t>
        </is>
      </c>
      <c r="C11" s="2" t="inlineStr">
        <is>
          <t>Is margin above or below target?</t>
        </is>
      </c>
      <c r="D11" s="2" t="inlineStr">
        <is>
          <t>06_Commercial_Cost</t>
        </is>
      </c>
      <c r="E11" s="2" t="inlineStr">
        <is>
          <t>Current_GP_HKD_M; Obj_GP_HKD_M</t>
        </is>
      </c>
      <c r="F11" s="2" t="inlineStr">
        <is>
          <t>Current GP minus objective GP</t>
        </is>
      </c>
      <c r="G11" s="2" t="inlineStr">
        <is>
          <t>QS / Commercial Manager</t>
        </is>
      </c>
      <c r="H11" s="2" t="inlineStr">
        <is>
          <t>Director / QS</t>
        </is>
      </c>
      <c r="I11" s="2" t="inlineStr">
        <is>
          <t>Yellow if below objective; Red if below by &gt; HK$0.5M</t>
        </is>
      </c>
      <c r="J11" s="2" t="inlineStr">
        <is>
          <t>Commercial matrix</t>
        </is>
      </c>
    </row>
    <row r="12" ht="15" customHeight="1">
      <c r="A12" s="2" t="inlineStr">
        <is>
          <t>COM-003</t>
        </is>
      </c>
      <c r="B12" s="2" t="inlineStr">
        <is>
          <t>VO net position</t>
        </is>
      </c>
      <c r="C12" s="2" t="inlineStr">
        <is>
          <t>Are VOs adding value?</t>
        </is>
      </c>
      <c r="D12" s="2" t="inlineStr">
        <is>
          <t>06_Commercial_Cost</t>
        </is>
      </c>
      <c r="E12" s="2" t="inlineStr">
        <is>
          <t>Accounted_VO_Income_HKD_M; Accounted_VO_Cost_HKD_M</t>
        </is>
      </c>
      <c r="F12" s="2" t="inlineStr">
        <is>
          <t>VO income minus VO cost</t>
        </is>
      </c>
      <c r="G12" s="2" t="inlineStr">
        <is>
          <t>QS / Commercial Manager</t>
        </is>
      </c>
      <c r="H12" s="2" t="inlineStr">
        <is>
          <t>QS / Director</t>
        </is>
      </c>
      <c r="I12" s="2" t="inlineStr">
        <is>
          <t>Yellow if VO net reduces month-on-month</t>
        </is>
      </c>
      <c r="J12" s="2" t="inlineStr">
        <is>
          <t>VO register</t>
        </is>
      </c>
    </row>
    <row r="13" ht="15" customHeight="1">
      <c r="A13" s="2" t="inlineStr">
        <is>
          <t>COM-004</t>
        </is>
      </c>
      <c r="B13" s="2" t="inlineStr">
        <is>
          <t>Net cashflow</t>
        </is>
      </c>
      <c r="C13" s="2" t="inlineStr">
        <is>
          <t>Is the project consuming cash?</t>
        </is>
      </c>
      <c r="D13" s="2" t="inlineStr">
        <is>
          <t>06_Commercial_Cost</t>
        </is>
      </c>
      <c r="E13" s="2" t="inlineStr">
        <is>
          <t>Payment_Received_HKD_M; Actual_Expenditure_HKD_M</t>
        </is>
      </c>
      <c r="F13" s="2" t="inlineStr">
        <is>
          <t>Payment received minus actual expenditure</t>
        </is>
      </c>
      <c r="G13" s="2" t="inlineStr">
        <is>
          <t>QS / Finance</t>
        </is>
      </c>
      <c r="H13" s="2" t="inlineStr">
        <is>
          <t>Director / Finance</t>
        </is>
      </c>
      <c r="I13" s="2" t="inlineStr">
        <is>
          <t>Red if negative; Yellow if near neutral</t>
        </is>
      </c>
      <c r="J13" s="2" t="inlineStr">
        <is>
          <t>Payment/cost records</t>
        </is>
      </c>
    </row>
    <row r="14" ht="15" customHeight="1">
      <c r="A14" s="2" t="inlineStr">
        <is>
          <t>COM-005</t>
        </is>
      </c>
      <c r="B14" s="2" t="inlineStr">
        <is>
          <t>Commitment %</t>
        </is>
      </c>
      <c r="C14" s="2" t="inlineStr">
        <is>
          <t>How much of budget is already committed?</t>
        </is>
      </c>
      <c r="D14" s="2" t="inlineStr">
        <is>
          <t>06_Commercial_Cost</t>
        </is>
      </c>
      <c r="E14" s="2" t="inlineStr">
        <is>
          <t>Commitment_HKD_M; Contract_Sum_with_VO_HKD_M</t>
        </is>
      </c>
      <c r="F14" s="2" t="inlineStr">
        <is>
          <t>Commitment divided by contract sum with VO</t>
        </is>
      </c>
      <c r="G14" s="2" t="inlineStr">
        <is>
          <t>QS / Commercial Manager</t>
        </is>
      </c>
      <c r="H14" s="2" t="inlineStr">
        <is>
          <t>Director / PM</t>
        </is>
      </c>
      <c r="I14" s="2" t="inlineStr">
        <is>
          <t>Yellow if &gt;90%; Red if &gt;100%</t>
        </is>
      </c>
      <c r="J14" s="2" t="inlineStr">
        <is>
          <t>PO/WO/VO records</t>
        </is>
      </c>
    </row>
    <row r="15" ht="15" customHeight="1">
      <c r="A15" s="2" t="inlineStr">
        <is>
          <t>ACT-001</t>
        </is>
      </c>
      <c r="B15" s="2" t="inlineStr">
        <is>
          <t>Decision count</t>
        </is>
      </c>
      <c r="C15" s="2" t="inlineStr">
        <is>
          <t>What does management need to decide?</t>
        </is>
      </c>
      <c r="D15" s="2" t="inlineStr">
        <is>
          <t>07_Risk_Action_Decision</t>
        </is>
      </c>
      <c r="E15" s="2" t="inlineStr">
        <is>
          <t>Decision_Required; RAG_Status</t>
        </is>
      </c>
      <c r="F15" s="2" t="inlineStr">
        <is>
          <t>Count open Red/Yellow decisions</t>
        </is>
      </c>
      <c r="G15" s="2" t="inlineStr">
        <is>
          <t>PM</t>
        </is>
      </c>
      <c r="H15" s="2" t="inlineStr">
        <is>
          <t>Director</t>
        </is>
      </c>
      <c r="I15" s="2" t="inlineStr">
        <is>
          <t>Red if open Red decision exists</t>
        </is>
      </c>
      <c r="J15" s="2" t="inlineStr">
        <is>
          <t>Decision log</t>
        </is>
      </c>
    </row>
    <row r="16" ht="15" customHeight="1">
      <c r="A16" s="2" t="inlineStr">
        <is>
          <t>DQ-001</t>
        </is>
      </c>
      <c r="B16" s="2" t="inlineStr">
        <is>
          <t>Report confidence</t>
        </is>
      </c>
      <c r="C16" s="2" t="inlineStr">
        <is>
          <t>Can the report be issued without manual checks?</t>
        </is>
      </c>
      <c r="D16" s="2" t="inlineStr">
        <is>
          <t>All sheets</t>
        </is>
      </c>
      <c r="E16" s="2" t="inlineStr">
        <is>
          <t>Data_Quality_Note; Data Gap RAG</t>
        </is>
      </c>
      <c r="F16" s="2" t="inlineStr">
        <is>
          <t>Count unresolved data gaps and source issues</t>
        </is>
      </c>
      <c r="G16" s="2" t="inlineStr">
        <is>
          <t>PM</t>
        </is>
      </c>
      <c r="H16" s="2" t="inlineStr">
        <is>
          <t>All users</t>
        </is>
      </c>
      <c r="I16" s="2" t="inlineStr">
        <is>
          <t>Data Gap if critical data missing</t>
        </is>
      </c>
      <c r="J16" s="2" t="inlineStr">
        <is>
          <t>Data quality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4.25"/>
  <cols>
    <col width="16" customWidth="1" min="1" max="1"/>
    <col width="28" customWidth="1" min="2" max="2"/>
    <col width="30" customWidth="1" min="3" max="3"/>
    <col width="48" customWidth="1" min="4" max="4"/>
    <col width="24" customWidth="1" min="5" max="5"/>
    <col width="48" customWidth="1" min="6" max="6"/>
    <col width="24" customWidth="1" min="7" max="7"/>
  </cols>
  <sheetData>
    <row r="1" ht="15" customHeight="1">
      <c r="A1" s="1" t="inlineStr">
        <is>
          <t>Review_Gate_ID</t>
        </is>
      </c>
      <c r="B1" s="1" t="inlineStr">
        <is>
          <t>Report_Section</t>
        </is>
      </c>
      <c r="C1" s="1" t="inlineStr">
        <is>
          <t>Reviewer</t>
        </is>
      </c>
      <c r="D1" s="1" t="inlineStr">
        <is>
          <t>What_To_Check</t>
        </is>
      </c>
      <c r="E1" s="1" t="inlineStr">
        <is>
          <t>Decision</t>
        </is>
      </c>
      <c r="F1" s="1" t="inlineStr">
        <is>
          <t>Stop_Condition</t>
        </is>
      </c>
      <c r="G1" s="1" t="inlineStr">
        <is>
          <t>Output_Status</t>
        </is>
      </c>
    </row>
    <row r="2" ht="15" customHeight="1">
      <c r="A2" s="2" t="inlineStr">
        <is>
          <t>RG-001</t>
        </is>
      </c>
      <c r="B2" s="2" t="inlineStr">
        <is>
          <t>Data Quality Log</t>
        </is>
      </c>
      <c r="C2" s="2" t="inlineStr">
        <is>
          <t>PM / Project Admin</t>
        </is>
      </c>
      <c r="D2" s="2" t="inlineStr">
        <is>
          <t>Missing fields, duplicated labels, date errors, formula issue markers</t>
        </is>
      </c>
      <c r="E2" s="2" t="inlineStr">
        <is>
          <t>Accept / request correction</t>
        </is>
      </c>
      <c r="F2" s="2" t="inlineStr">
        <is>
          <t>Critical Data Gap in progress, RFI, commercial metrics</t>
        </is>
      </c>
      <c r="G2" s="2" t="inlineStr">
        <is>
          <t>Draft only</t>
        </is>
      </c>
    </row>
    <row r="3" ht="15" customHeight="1">
      <c r="A3" s="2" t="inlineStr">
        <is>
          <t>RG-002</t>
        </is>
      </c>
      <c r="B3" s="2" t="inlineStr">
        <is>
          <t>Progress by Zone / Trade</t>
        </is>
      </c>
      <c r="C3" s="2" t="inlineStr">
        <is>
          <t>Construction Manager</t>
        </is>
      </c>
      <c r="D3" s="2" t="inlineStr">
        <is>
          <t>Actual % and quantity; reasons for variance; action owner; due dates</t>
        </is>
      </c>
      <c r="E3" s="2" t="inlineStr">
        <is>
          <t>Confirm progress narrative</t>
        </is>
      </c>
      <c r="F3" s="2" t="inlineStr">
        <is>
          <t>AI guessed missing cause or progress value</t>
        </is>
      </c>
      <c r="G3" s="2" t="inlineStr">
        <is>
          <t>Draft only</t>
        </is>
      </c>
    </row>
    <row r="4" ht="15" customHeight="1">
      <c r="A4" s="2" t="inlineStr">
        <is>
          <t>RG-003</t>
        </is>
      </c>
      <c r="B4" s="2" t="inlineStr">
        <is>
          <t>Programme &amp; Milestone Risk</t>
        </is>
      </c>
      <c r="C4" s="2" t="inlineStr">
        <is>
          <t>Planner / PM</t>
        </is>
      </c>
      <c r="D4" s="2" t="inlineStr">
        <is>
          <t>Baseline vs forecast dates; critical path flag; recovery logic</t>
        </is>
      </c>
      <c r="E4" s="2" t="inlineStr">
        <is>
          <t>Confirm delay status</t>
        </is>
      </c>
      <c r="F4" s="2" t="inlineStr">
        <is>
          <t>Critical path delay not reviewed</t>
        </is>
      </c>
      <c r="G4" s="2" t="inlineStr">
        <is>
          <t>Draft only</t>
        </is>
      </c>
    </row>
    <row r="5" ht="15" customHeight="1">
      <c r="A5" s="2" t="inlineStr">
        <is>
          <t>RG-004</t>
        </is>
      </c>
      <c r="B5" s="2" t="inlineStr">
        <is>
          <t>Submission / RFI Bottleneck</t>
        </is>
      </c>
      <c r="C5" s="2" t="inlineStr">
        <is>
          <t>Technical Manager</t>
        </is>
      </c>
      <c r="D5" s="2" t="inlineStr">
        <is>
          <t>Status normalization; overdue days; linked programme/commercial impact</t>
        </is>
      </c>
      <c r="E5" s="2" t="inlineStr">
        <is>
          <t>Confirm escalation wording</t>
        </is>
      </c>
      <c r="F5" s="2" t="inlineStr">
        <is>
          <t>RFI/legal wording may create claim risk</t>
        </is>
      </c>
      <c r="G5" s="2" t="inlineStr">
        <is>
          <t>Draft only</t>
        </is>
      </c>
    </row>
    <row r="6" ht="15" customHeight="1">
      <c r="A6" s="2" t="inlineStr">
        <is>
          <t>RG-005</t>
        </is>
      </c>
      <c r="B6" s="2" t="inlineStr">
        <is>
          <t>Procurement Readiness</t>
        </is>
      </c>
      <c r="C6" s="2" t="inlineStr">
        <is>
          <t>Procurement Manager</t>
        </is>
      </c>
      <c r="D6" s="2" t="inlineStr">
        <is>
          <t>Delivery forecast; approval/PO status; supplier action</t>
        </is>
      </c>
      <c r="E6" s="2" t="inlineStr">
        <is>
          <t>Confirm material risk</t>
        </is>
      </c>
      <c r="F6" s="2" t="inlineStr">
        <is>
          <t>Missing forecast delivery date for critical item</t>
        </is>
      </c>
      <c r="G6" s="2" t="inlineStr">
        <is>
          <t>Draft only</t>
        </is>
      </c>
    </row>
    <row r="7" ht="15" customHeight="1">
      <c r="A7" s="2" t="inlineStr">
        <is>
          <t>RG-006</t>
        </is>
      </c>
      <c r="B7" s="2" t="inlineStr">
        <is>
          <t>Safety / Quality Exceptions</t>
        </is>
      </c>
      <c r="C7" s="2" t="inlineStr">
        <is>
          <t>Safety Officer / QAQC Manager</t>
        </is>
      </c>
      <c r="D7" s="2" t="inlineStr">
        <is>
          <t>Accident/NCR data; overdue actions; red issues</t>
        </is>
      </c>
      <c r="E7" s="2" t="inlineStr">
        <is>
          <t>Confirm compliance statement</t>
        </is>
      </c>
      <c r="F7" s="2" t="inlineStr">
        <is>
          <t>High-risk safety item unresolved</t>
        </is>
      </c>
      <c r="G7" s="2" t="inlineStr">
        <is>
          <t>Draft only</t>
        </is>
      </c>
    </row>
    <row r="8" ht="15" customHeight="1">
      <c r="A8" s="2" t="inlineStr">
        <is>
          <t>RG-007</t>
        </is>
      </c>
      <c r="B8" s="2" t="inlineStr">
        <is>
          <t>Commercial Health</t>
        </is>
      </c>
      <c r="C8" s="2" t="inlineStr">
        <is>
          <t>QS / Commercial Manager</t>
        </is>
      </c>
      <c r="D8" s="2" t="inlineStr">
        <is>
          <t>GP, VO, cashflow, cost certified, commitment, risk exposure</t>
        </is>
      </c>
      <c r="E8" s="2" t="inlineStr">
        <is>
          <t>Confirm commercial interpretation</t>
        </is>
      </c>
      <c r="F8" s="2" t="inlineStr">
        <is>
          <t>GP/cashflow numbers not reconciled</t>
        </is>
      </c>
      <c r="G8" s="2" t="inlineStr">
        <is>
          <t>Draft only</t>
        </is>
      </c>
    </row>
    <row r="9" ht="15" customHeight="1">
      <c r="A9" s="2" t="inlineStr">
        <is>
          <t>RG-008</t>
        </is>
      </c>
      <c r="B9" s="2" t="inlineStr">
        <is>
          <t>Executive Dashboard</t>
        </is>
      </c>
      <c r="C9" s="2" t="inlineStr">
        <is>
          <t>Project Director</t>
        </is>
      </c>
      <c r="D9" s="2" t="inlineStr">
        <is>
          <t>Top 5 exceptions; required decisions; risk wording; owner/date</t>
        </is>
      </c>
      <c r="E9" s="2" t="inlineStr">
        <is>
          <t>Approve for management issue</t>
        </is>
      </c>
      <c r="F9" s="2" t="inlineStr">
        <is>
          <t>Any section owner has not reviewed</t>
        </is>
      </c>
      <c r="G9" s="2" t="inlineStr">
        <is>
          <t>Ready for internal issue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25"/>
  <cols>
    <col width="24" customWidth="1" min="1" max="1"/>
    <col width="110" customWidth="1" min="2" max="2"/>
  </cols>
  <sheetData>
    <row r="1" ht="15" customHeight="1">
      <c r="A1" s="1" t="inlineStr">
        <is>
          <t>Step</t>
        </is>
      </c>
      <c r="B1" s="1" t="inlineStr">
        <is>
          <t>Prompt_or_Demo_Note</t>
        </is>
      </c>
    </row>
    <row r="2" ht="15" customHeight="1">
      <c r="A2" s="2" t="inlineStr">
        <is>
          <t>Plan Mode Prompt</t>
        </is>
      </c>
      <c r="B2" s="2" t="inlineStr">
        <is>
          <t>You are not allowed to generate the report yet. First inspect the workbook, identify the sheets, propose a plan, list expected outputs, data quality checks, KPI calculations, charts, and human review gates.</t>
        </is>
      </c>
    </row>
    <row r="3" ht="15" customHeight="1">
      <c r="A3" s="2" t="inlineStr">
        <is>
          <t>Build Step 1</t>
        </is>
      </c>
      <c r="B3" s="2" t="inlineStr">
        <is>
          <t>Generate a Python script to read all sheets, validate required columns, normalize status values, and create a data_quality_log.md.</t>
        </is>
      </c>
    </row>
    <row r="4" ht="15" customHeight="1">
      <c r="A4" s="2" t="inlineStr">
        <is>
          <t>Build Step 2</t>
        </is>
      </c>
      <c r="B4" s="2" t="inlineStr">
        <is>
          <t>Calculate KPI/RAG for progress, milestone delay, overdue RFI/submission, procurement delivery risk, safety/quality exception, and commercial health.</t>
        </is>
      </c>
    </row>
    <row r="5" ht="15" customHeight="1">
      <c r="A5" s="2" t="inlineStr">
        <is>
          <t>Build Step 3</t>
        </is>
      </c>
      <c r="B5" s="2" t="inlineStr">
        <is>
          <t>Generate charts: planned vs actual progress by zone, milestone delay days, RFI aging, procurement delivery variance, and commercial KPI movement.</t>
        </is>
      </c>
    </row>
    <row r="6" ht="15" customHeight="1">
      <c r="A6" s="2" t="inlineStr">
        <is>
          <t>Build Step 4</t>
        </is>
      </c>
      <c r="B6" s="2" t="inlineStr">
        <is>
          <t>Render a Markdown/HTML monthly report with Director Dashboard, PM Action Summary, QS Commercial Deep Dive, and Review Checklist.</t>
        </is>
      </c>
    </row>
    <row r="7" ht="15" customHeight="1">
      <c r="A7" s="2" t="inlineStr">
        <is>
          <t>Self-healing Demo</t>
        </is>
      </c>
      <c r="B7" s="2" t="inlineStr">
        <is>
          <t>Ask Codex to handle missing Actual % in PRG-006, inconsistent status labels in 03_Submission_RFI, missing due date in RFI-041, and missing forecast delivery in MAT-026.</t>
        </is>
      </c>
    </row>
    <row r="8" ht="15" customHeight="1">
      <c r="A8" s="2" t="inlineStr">
        <is>
          <t>Human Review Stop</t>
        </is>
      </c>
      <c r="B8" s="2" t="inlineStr">
        <is>
          <t>The final output must stop at 'Draft for PM/QS/Director review'. It must not claim the report is approved or issued.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25"/>
  <cols>
    <col width="32" customWidth="1" min="1" max="1"/>
    <col width="16" customWidth="1" min="2" max="2"/>
    <col width="42" customWidth="1" min="3" max="3"/>
    <col width="72" customWidth="1" min="4" max="4"/>
  </cols>
  <sheetData>
    <row r="1" ht="15" customHeight="1">
      <c r="A1" s="1" t="inlineStr">
        <is>
          <t>KPI_Area</t>
        </is>
      </c>
      <c r="B1" s="1" t="inlineStr">
        <is>
          <t>KPI_Result</t>
        </is>
      </c>
      <c r="C1" s="1" t="inlineStr">
        <is>
          <t>Source</t>
        </is>
      </c>
      <c r="D1" s="1" t="inlineStr">
        <is>
          <t>Teaching_Moment</t>
        </is>
      </c>
    </row>
    <row r="2" ht="15" customHeight="1">
      <c r="A2" s="2" t="inlineStr">
        <is>
          <t>Progress Red rows</t>
        </is>
      </c>
      <c r="B2" s="2" t="n">
        <v>2</v>
      </c>
      <c r="C2" s="2" t="inlineStr">
        <is>
          <t>01_Area_Progress!RAG_Status</t>
        </is>
      </c>
      <c r="D2" s="2" t="inlineStr">
        <is>
          <t>Exception detection from planned vs actual progress</t>
        </is>
      </c>
    </row>
    <row r="3" ht="15" customHeight="1">
      <c r="A3" s="2" t="inlineStr">
        <is>
          <t>Progress Data Gap rows</t>
        </is>
      </c>
      <c r="B3" s="2" t="n">
        <v>1</v>
      </c>
      <c r="C3" s="2" t="inlineStr">
        <is>
          <t>01_Area_Progress!RAG_Status</t>
        </is>
      </c>
      <c r="D3" s="2" t="inlineStr">
        <is>
          <t>AI must not infer missing Actual %</t>
        </is>
      </c>
    </row>
    <row r="4" ht="15" customHeight="1">
      <c r="A4" s="2" t="inlineStr">
        <is>
          <t>Critical programme Red milestones</t>
        </is>
      </c>
      <c r="B4" s="2" t="n">
        <v>3</v>
      </c>
      <c r="C4" s="2" t="inlineStr">
        <is>
          <t>02_Programme_Milestones!RAG_Status</t>
        </is>
      </c>
      <c r="D4" s="2" t="inlineStr">
        <is>
          <t>Critical path delay logic</t>
        </is>
      </c>
    </row>
    <row r="5" ht="15" customHeight="1">
      <c r="A5" s="2" t="inlineStr">
        <is>
          <t>Red overdue RFI / submission items</t>
        </is>
      </c>
      <c r="B5" s="2" t="n">
        <v>1</v>
      </c>
      <c r="C5" s="2" t="inlineStr">
        <is>
          <t>03_Submission_RFI!RAG_Status</t>
        </is>
      </c>
      <c r="D5" s="2" t="inlineStr">
        <is>
          <t>Approval bottleneck detection</t>
        </is>
      </c>
    </row>
    <row r="6" ht="15" customHeight="1">
      <c r="A6" s="2" t="inlineStr">
        <is>
          <t>Procurement Data Gap items</t>
        </is>
      </c>
      <c r="B6" s="2" t="n">
        <v>1</v>
      </c>
      <c r="C6" s="2" t="inlineStr">
        <is>
          <t>04_Procurement!Risk_Status</t>
        </is>
      </c>
      <c r="D6" s="2" t="inlineStr">
        <is>
          <t>Missing forecast delivery date handling</t>
        </is>
      </c>
    </row>
    <row r="7" ht="15" customHeight="1">
      <c r="A7" s="2" t="inlineStr">
        <is>
          <t>Safety / Quality Red items</t>
        </is>
      </c>
      <c r="B7" s="2" t="n">
        <v>1</v>
      </c>
      <c r="C7" s="2" t="inlineStr">
        <is>
          <t>05_Safety_Quality!RAG_Status</t>
        </is>
      </c>
      <c r="D7" s="2" t="inlineStr">
        <is>
          <t>Exception-based safety / QA reporting</t>
        </is>
      </c>
    </row>
    <row r="8" ht="15" customHeight="1">
      <c r="A8" s="2" t="inlineStr">
        <is>
          <t>Current GP %</t>
        </is>
      </c>
      <c r="B8" s="6" t="n">
        <v>0.04283707865168539</v>
      </c>
      <c r="C8" s="2" t="inlineStr">
        <is>
          <t>06_Commercial_Cost!Current_GP_%</t>
        </is>
      </c>
      <c r="D8" s="2" t="inlineStr">
        <is>
          <t>Commercial health for Director / QS view</t>
        </is>
      </c>
    </row>
    <row r="9" ht="15" customHeight="1">
      <c r="A9" s="2" t="inlineStr">
        <is>
          <t>Open Red management decisions</t>
        </is>
      </c>
      <c r="B9" s="2" t="n">
        <v>3</v>
      </c>
      <c r="C9" s="2" t="inlineStr">
        <is>
          <t>07_Risk_Action_Decision!RAG_Status + Status</t>
        </is>
      </c>
      <c r="D9" s="2" t="inlineStr">
        <is>
          <t>Report as decision pack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JohnnyMa</dc:creator>
  <dcterms:created xmlns:dcterms="http://purl.org/dc/terms/" xmlns:xsi="http://www.w3.org/2001/XMLSchema-instance" xsi:type="dcterms:W3CDTF">2026-05-17T16:20:00Z</dcterms:created>
  <dcterms:modified xmlns:dcterms="http://purl.org/dc/terms/" xmlns:xsi="http://www.w3.org/2001/XMLSchema-instance" xsi:type="dcterms:W3CDTF">2026-09-01T18:35:45Z</dcterms:modified>
  <cp:lastModifiedBy>KWONG CHUEN MA</cp:lastModifiedBy>
</cp:coreProperties>
</file>